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0" yWindow="-120" windowWidth="20730" windowHeight="11760" activeTab="2"/>
  </bookViews>
  <sheets>
    <sheet name="APRIL 2024" sheetId="1" r:id="rId1"/>
    <sheet name="MAY 2024" sheetId="3" r:id="rId2"/>
    <sheet name="JUNE 2024" sheetId="4" r:id="rId3"/>
    <sheet name="JULY 2024" sheetId="5" r:id="rId4"/>
    <sheet name="AUGUST 2024" sheetId="2" r:id="rId5"/>
    <sheet name="SEPTEMBER 2024" sheetId="6" r:id="rId6"/>
    <sheet name="OCTOBER 2024" sheetId="7" r:id="rId7"/>
    <sheet name="JAN 1" sheetId="8" r:id="rId8"/>
    <sheet name="FEB 2025" sheetId="9" r:id="rId9"/>
    <sheet name="MARCH 2025" sheetId="10" r:id="rId10"/>
    <sheet name="APRIL 2025" sheetId="11" r:id="rId11"/>
  </sheets>
  <calcPr calcId="145621"/>
</workbook>
</file>

<file path=xl/calcChain.xml><?xml version="1.0" encoding="utf-8"?>
<calcChain xmlns="http://schemas.openxmlformats.org/spreadsheetml/2006/main">
  <c r="K15" i="10" l="1"/>
  <c r="K10" i="10"/>
  <c r="K6" i="2"/>
  <c r="K10" i="6"/>
  <c r="K9" i="10"/>
  <c r="K11" i="10"/>
  <c r="K12" i="10"/>
  <c r="K13" i="10"/>
  <c r="K14" i="10"/>
  <c r="K8" i="10"/>
  <c r="K6" i="9"/>
  <c r="A2" i="10"/>
  <c r="H13" i="9"/>
  <c r="G13" i="9"/>
  <c r="K12" i="9"/>
  <c r="K11" i="9"/>
  <c r="K10" i="9"/>
  <c r="K9" i="9"/>
  <c r="K8" i="9"/>
  <c r="K7" i="9"/>
  <c r="A2" i="9"/>
  <c r="H20" i="8"/>
  <c r="G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A2" i="8"/>
  <c r="H41" i="7"/>
  <c r="G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A2" i="7"/>
  <c r="H14" i="6"/>
  <c r="G14" i="6"/>
  <c r="K13" i="6"/>
  <c r="K12" i="6"/>
  <c r="K11" i="6"/>
  <c r="K9" i="6"/>
  <c r="K8" i="6"/>
  <c r="K7" i="6"/>
  <c r="A2" i="6"/>
  <c r="H18" i="2"/>
  <c r="G18" i="2"/>
  <c r="K17" i="2"/>
  <c r="K16" i="2"/>
  <c r="K15" i="2"/>
  <c r="K14" i="2"/>
  <c r="K13" i="2"/>
  <c r="K12" i="2"/>
  <c r="K11" i="2"/>
  <c r="K10" i="2"/>
  <c r="K9" i="2"/>
  <c r="K8" i="2"/>
  <c r="K7" i="2"/>
  <c r="A2" i="2"/>
  <c r="I21" i="5"/>
  <c r="H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A2" i="5"/>
  <c r="O19" i="4"/>
  <c r="H19" i="4"/>
  <c r="G19" i="4"/>
  <c r="K18" i="4"/>
  <c r="K17" i="4"/>
  <c r="K16" i="4"/>
  <c r="K15" i="4"/>
  <c r="K14" i="4"/>
  <c r="K13" i="4"/>
  <c r="K12" i="4"/>
  <c r="K11" i="4"/>
  <c r="K10" i="4"/>
  <c r="K9" i="4"/>
  <c r="K8" i="4"/>
  <c r="A2" i="4"/>
  <c r="O15" i="3"/>
  <c r="H15" i="3"/>
  <c r="G15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2" i="3"/>
  <c r="H10" i="1"/>
  <c r="G10" i="1"/>
  <c r="K9" i="1"/>
  <c r="J9" i="1"/>
  <c r="J8" i="1"/>
  <c r="K8" i="1" s="1"/>
  <c r="K7" i="1"/>
  <c r="J7" i="1"/>
  <c r="A2" i="1"/>
</calcChain>
</file>

<file path=xl/sharedStrings.xml><?xml version="1.0" encoding="utf-8"?>
<sst xmlns="http://schemas.openxmlformats.org/spreadsheetml/2006/main" count="878" uniqueCount="261">
  <si>
    <t>DATE</t>
  </si>
  <si>
    <t>AUTOMATIC EXPIRATION DATE ALERT SYSTEM</t>
  </si>
  <si>
    <t>PLEASE TYPE 
"YES" if REGISTERED</t>
  </si>
  <si>
    <t>OFFICE</t>
  </si>
  <si>
    <t>PLATE #</t>
  </si>
  <si>
    <t>MAKE</t>
  </si>
  <si>
    <t>TYPE</t>
  </si>
  <si>
    <t>EMISSION</t>
  </si>
  <si>
    <t>GSIS</t>
  </si>
  <si>
    <t>LTO</t>
  </si>
  <si>
    <t>LAST REG.</t>
  </si>
  <si>
    <t>REMINDER</t>
  </si>
  <si>
    <t>ALERT</t>
  </si>
  <si>
    <t>INSURANCE</t>
  </si>
  <si>
    <t>DRIVER</t>
  </si>
  <si>
    <t>ACQUISITION
COST</t>
  </si>
  <si>
    <t>DATE
ACQUIRED</t>
  </si>
  <si>
    <t>FROM</t>
  </si>
  <si>
    <t>TO</t>
  </si>
  <si>
    <t>MAYOR'S OFFICE</t>
  </si>
  <si>
    <t>SAA-6574</t>
  </si>
  <si>
    <t>MITSUBISHI</t>
  </si>
  <si>
    <t>L300</t>
  </si>
  <si>
    <t>MAY 1, 2024</t>
  </si>
  <si>
    <t>MAY 1, 2025</t>
  </si>
  <si>
    <t>JESSERIE BACLADO</t>
  </si>
  <si>
    <t>MEO</t>
  </si>
  <si>
    <t>PICK-UP</t>
  </si>
  <si>
    <t>SJ-9294</t>
  </si>
  <si>
    <t>HONDA</t>
  </si>
  <si>
    <t>MOTORCYCLE</t>
  </si>
  <si>
    <t>JAYVEE LESTER VILLAMOR</t>
  </si>
  <si>
    <t>CRITERIA</t>
  </si>
  <si>
    <t>LESS THAN 0 DAYS = EXPIRED (RED)</t>
  </si>
  <si>
    <t>1 TO 14 DAYS = DAYS BEFORE EXPIRY (ORANGE)</t>
  </si>
  <si>
    <t>15 TO 29 DAYS = DAYS BEFORE 2 WEEK NOTICE (YELLOW)</t>
  </si>
  <si>
    <t>30 DAYS AND MORE = SUFFICIENT TIME (GREEN)</t>
  </si>
  <si>
    <t>PLEASE INPUT LAST REG (GRAY)</t>
  </si>
  <si>
    <t>REGISTERED (BLUE)</t>
  </si>
  <si>
    <t>DEPED II</t>
  </si>
  <si>
    <t>SJ-9295</t>
  </si>
  <si>
    <t>MC</t>
  </si>
  <si>
    <t>JUNE 1, 2024</t>
  </si>
  <si>
    <t>JUNE 1, 2025</t>
  </si>
  <si>
    <t>MAO</t>
  </si>
  <si>
    <t>SAA-6575</t>
  </si>
  <si>
    <t>L300 VAN</t>
  </si>
  <si>
    <t>DEPED IV</t>
  </si>
  <si>
    <t>100105/9141</t>
  </si>
  <si>
    <t>GSD</t>
  </si>
  <si>
    <t>SE-8965</t>
  </si>
  <si>
    <t>MFRTA</t>
  </si>
  <si>
    <t>100105/3268</t>
  </si>
  <si>
    <t>100105/4002</t>
  </si>
  <si>
    <t>I.T</t>
  </si>
  <si>
    <t>100105/5596</t>
  </si>
  <si>
    <t>SKJ-146</t>
  </si>
  <si>
    <t>ISUZU</t>
  </si>
  <si>
    <t>WAGON</t>
  </si>
  <si>
    <t>JULY 1, 2024</t>
  </si>
  <si>
    <t>JULY 1, 2025</t>
  </si>
  <si>
    <t>APRIL 2015</t>
  </si>
  <si>
    <t>100106/8147</t>
  </si>
  <si>
    <t>YAMAHA</t>
  </si>
  <si>
    <t>JUNE 2018</t>
  </si>
  <si>
    <t>SJ-9296</t>
  </si>
  <si>
    <t>ALFONSO PANGCA</t>
  </si>
  <si>
    <t>DECEMBER 2014</t>
  </si>
  <si>
    <t>MOTORPOOL</t>
  </si>
  <si>
    <t>SINOTRUCK</t>
  </si>
  <si>
    <t>DUMPTRUCK</t>
  </si>
  <si>
    <t>JUNE 2017</t>
  </si>
  <si>
    <t>100106/0210</t>
  </si>
  <si>
    <t>JULY 1, 2021</t>
  </si>
  <si>
    <t>I.T PROCUREMENT</t>
  </si>
  <si>
    <t>100106/0459</t>
  </si>
  <si>
    <t>MENRO</t>
  </si>
  <si>
    <t>130106/D2V084</t>
  </si>
  <si>
    <t>ARM ROLL TRUCK</t>
  </si>
  <si>
    <t>NEW</t>
  </si>
  <si>
    <t>-</t>
  </si>
  <si>
    <t>JUNE 2, 2022</t>
  </si>
  <si>
    <t>OBBO</t>
  </si>
  <si>
    <t>1001-733-999</t>
  </si>
  <si>
    <t>AUG 18, 2024</t>
  </si>
  <si>
    <t>JUNE 2023</t>
  </si>
  <si>
    <t>1001-734-4001</t>
  </si>
  <si>
    <t>MARKET</t>
  </si>
  <si>
    <t>136SKB</t>
  </si>
  <si>
    <t>JULY 30, 2025</t>
  </si>
  <si>
    <t>JUNE 7, 2024</t>
  </si>
  <si>
    <t>137SKB</t>
  </si>
  <si>
    <t>JULY 30, 2024</t>
  </si>
  <si>
    <t>MARK LEDWIN 
O. ALBA</t>
  </si>
  <si>
    <t>SA-14927</t>
  </si>
  <si>
    <t>OCTOBER 2017</t>
  </si>
  <si>
    <t>MANGIMA</t>
  </si>
  <si>
    <t>SA-14777</t>
  </si>
  <si>
    <t>SEPTEMBER 2017</t>
  </si>
  <si>
    <t>PROCUREMENT</t>
  </si>
  <si>
    <t>100107/7027</t>
  </si>
  <si>
    <t>JULY 2020</t>
  </si>
  <si>
    <t>100107/0246</t>
  </si>
  <si>
    <t>100107/7066</t>
  </si>
  <si>
    <t>SPORTS</t>
  </si>
  <si>
    <t>100107/8590</t>
  </si>
  <si>
    <t>LAPD</t>
  </si>
  <si>
    <t>D2V541</t>
  </si>
  <si>
    <t>TRAVIS VAN</t>
  </si>
  <si>
    <r>
      <rPr>
        <sz val="11"/>
        <color theme="1"/>
        <rFont val="Calibri"/>
        <charset val="134"/>
      </rPr>
      <t xml:space="preserve">₱          </t>
    </r>
    <r>
      <rPr>
        <sz val="11"/>
        <color theme="1"/>
        <rFont val="Calibri"/>
        <charset val="134"/>
        <scheme val="minor"/>
      </rPr>
      <t xml:space="preserve">1,846.19
</t>
    </r>
    <r>
      <rPr>
        <sz val="11"/>
        <color theme="1"/>
        <rFont val="Calibri"/>
        <charset val="134"/>
      </rPr>
      <t xml:space="preserve">₱        </t>
    </r>
    <r>
      <rPr>
        <sz val="11"/>
        <color theme="1"/>
        <rFont val="Calibri"/>
        <charset val="134"/>
        <scheme val="minor"/>
      </rPr>
      <t>11,839.64</t>
    </r>
  </si>
  <si>
    <t>DECEMBER 2022</t>
  </si>
  <si>
    <t>D2V993</t>
  </si>
  <si>
    <r>
      <rPr>
        <sz val="11"/>
        <color theme="1"/>
        <rFont val="Calibri"/>
        <charset val="134"/>
      </rPr>
      <t xml:space="preserve">₱        </t>
    </r>
    <r>
      <rPr>
        <sz val="11"/>
        <color theme="1"/>
        <rFont val="Calibri"/>
        <charset val="134"/>
        <scheme val="minor"/>
      </rPr>
      <t xml:space="preserve">11,839.64
</t>
    </r>
    <r>
      <rPr>
        <sz val="11"/>
        <color theme="1"/>
        <rFont val="Calibri"/>
        <charset val="134"/>
      </rPr>
      <t xml:space="preserve">₱          </t>
    </r>
    <r>
      <rPr>
        <sz val="11"/>
        <color theme="1"/>
        <rFont val="Calibri"/>
        <charset val="134"/>
        <scheme val="minor"/>
      </rPr>
      <t>1,846.19</t>
    </r>
  </si>
  <si>
    <t>RTA</t>
  </si>
  <si>
    <t>D2V994</t>
  </si>
  <si>
    <t>LDRRMO</t>
  </si>
  <si>
    <t>D3 K937</t>
  </si>
  <si>
    <t>MOBILE KITCHEN</t>
  </si>
  <si>
    <r>
      <rPr>
        <sz val="11"/>
        <color theme="1"/>
        <rFont val="Calibri"/>
        <charset val="134"/>
      </rPr>
      <t xml:space="preserve">₱           </t>
    </r>
    <r>
      <rPr>
        <sz val="11"/>
        <color theme="1"/>
        <rFont val="Calibri"/>
        <charset val="134"/>
        <scheme val="minor"/>
      </rPr>
      <t xml:space="preserve">4,909.51
</t>
    </r>
    <r>
      <rPr>
        <sz val="11"/>
        <color theme="1"/>
        <rFont val="Calibri"/>
        <charset val="134"/>
      </rPr>
      <t xml:space="preserve">₱         </t>
    </r>
    <r>
      <rPr>
        <sz val="11"/>
        <color theme="1"/>
        <rFont val="Calibri"/>
        <charset val="134"/>
        <scheme val="minor"/>
      </rPr>
      <t>18,294.84</t>
    </r>
  </si>
  <si>
    <t>DEPED</t>
  </si>
  <si>
    <t>1001-740904
(9726)</t>
  </si>
  <si>
    <t>JULY 18, 2023</t>
  </si>
  <si>
    <t>1001-740905
(8545)</t>
  </si>
  <si>
    <t>SLA1108</t>
  </si>
  <si>
    <t>KIA</t>
  </si>
  <si>
    <t>DROPSIDE</t>
  </si>
  <si>
    <t>MAY 8, 2023</t>
  </si>
  <si>
    <t>SKF-818</t>
  </si>
  <si>
    <t>TOYOTA</t>
  </si>
  <si>
    <t>FORTUNER</t>
  </si>
  <si>
    <t>WAREHOUSE</t>
  </si>
  <si>
    <t>SH-8688</t>
  </si>
  <si>
    <t>ROLANDO TANGUB</t>
  </si>
  <si>
    <t>100105/7191</t>
  </si>
  <si>
    <t>SA-14928</t>
  </si>
  <si>
    <t>SJ-2538</t>
  </si>
  <si>
    <t>FOR REPAIR</t>
  </si>
  <si>
    <t>123008 (3337)</t>
  </si>
  <si>
    <t>DUMP TRUCK</t>
  </si>
  <si>
    <t>123008 (3477)</t>
  </si>
  <si>
    <t>FUSO</t>
  </si>
  <si>
    <t>FLATBED</t>
  </si>
  <si>
    <t>SJE-828</t>
  </si>
  <si>
    <t>100108 (4396)</t>
  </si>
  <si>
    <t>SLAUGHTER</t>
  </si>
  <si>
    <t>SHZ-778</t>
  </si>
  <si>
    <t>REF.VAN</t>
  </si>
  <si>
    <t>SLA 1108</t>
  </si>
  <si>
    <t xml:space="preserve">ALERT
</t>
  </si>
  <si>
    <t>SAA-6629</t>
  </si>
  <si>
    <t>FB L300</t>
  </si>
  <si>
    <t>ABA-9019</t>
  </si>
  <si>
    <t>FIRETRUCK</t>
  </si>
  <si>
    <t>SA-14929</t>
  </si>
  <si>
    <t>SK-9619</t>
  </si>
  <si>
    <t>MTO</t>
  </si>
  <si>
    <t>SAF-979</t>
  </si>
  <si>
    <t>1001-680-240</t>
  </si>
  <si>
    <t>1001-680-242</t>
  </si>
  <si>
    <t>100110 (2361)</t>
  </si>
  <si>
    <t>VAN</t>
  </si>
  <si>
    <t>100110 (9540)</t>
  </si>
  <si>
    <t>SJ2 480</t>
  </si>
  <si>
    <t>100110 (6790)</t>
  </si>
  <si>
    <t>100110 (6018)</t>
  </si>
  <si>
    <t>100110 (6585)</t>
  </si>
  <si>
    <t>090810 GC</t>
  </si>
  <si>
    <t>GC</t>
  </si>
  <si>
    <t>100110 (3181)</t>
  </si>
  <si>
    <t>DEPED I</t>
  </si>
  <si>
    <t>SKD-540</t>
  </si>
  <si>
    <t>SJ-9290</t>
  </si>
  <si>
    <t>090110/SAA-7619</t>
  </si>
  <si>
    <t>ELF BUS</t>
  </si>
  <si>
    <t>PNP</t>
  </si>
  <si>
    <t>100810 (ACB-6198)</t>
  </si>
  <si>
    <t>RHU</t>
  </si>
  <si>
    <t>100110/7994</t>
  </si>
  <si>
    <t>FOTON</t>
  </si>
  <si>
    <t>AMBULANCE</t>
  </si>
  <si>
    <t>100110/5C74</t>
  </si>
  <si>
    <t>MHO</t>
  </si>
  <si>
    <t>5C12/D2J-915</t>
  </si>
  <si>
    <t>100110/5C08</t>
  </si>
  <si>
    <t>PASSENGER VAN</t>
  </si>
  <si>
    <t>SB</t>
  </si>
  <si>
    <t>100110/7051</t>
  </si>
  <si>
    <t>D3AG73/3411</t>
  </si>
  <si>
    <t>TRAVIZ</t>
  </si>
  <si>
    <t>S9P348 (5792)</t>
  </si>
  <si>
    <t>MASSO</t>
  </si>
  <si>
    <t>S9G876 (5657)</t>
  </si>
  <si>
    <t>TESDA</t>
  </si>
  <si>
    <t>S9E350 (4836)</t>
  </si>
  <si>
    <t>S9G821 (6658)</t>
  </si>
  <si>
    <t>MPDO</t>
  </si>
  <si>
    <t>100110/0137</t>
  </si>
  <si>
    <t>SANKANAN LYING-IN</t>
  </si>
  <si>
    <t>F5U711 (3998)</t>
  </si>
  <si>
    <t>NISSAN</t>
  </si>
  <si>
    <t>MO</t>
  </si>
  <si>
    <t>P7Q331</t>
  </si>
  <si>
    <t>SUV</t>
  </si>
  <si>
    <t>1001-781477</t>
  </si>
  <si>
    <t>KAWASAKI</t>
  </si>
  <si>
    <t>1001-781478</t>
  </si>
  <si>
    <t>1001-781476</t>
  </si>
  <si>
    <t>1001-781479</t>
  </si>
  <si>
    <t>1017-8229818</t>
  </si>
  <si>
    <t>TRUCK(9818)</t>
  </si>
  <si>
    <t>1017-8229816</t>
  </si>
  <si>
    <t>TRUCK(9816)</t>
  </si>
  <si>
    <t>1017-8229817</t>
  </si>
  <si>
    <t>TRUCK(9817)</t>
  </si>
  <si>
    <t>163SKB</t>
  </si>
  <si>
    <t>OBO</t>
  </si>
  <si>
    <t>162SKB</t>
  </si>
  <si>
    <t>100101/7005</t>
  </si>
  <si>
    <t>1001101/5086</t>
  </si>
  <si>
    <t>100101/5274</t>
  </si>
  <si>
    <t>100101/6889</t>
  </si>
  <si>
    <t>100101/3281</t>
  </si>
  <si>
    <t>SJ-9291</t>
  </si>
  <si>
    <t>100101/A9N761</t>
  </si>
  <si>
    <t>SKD-551</t>
  </si>
  <si>
    <t>MAI-2391</t>
  </si>
  <si>
    <t>100101/1117</t>
  </si>
  <si>
    <t>HINO</t>
  </si>
  <si>
    <t>BUS</t>
  </si>
  <si>
    <t>100101/5342</t>
  </si>
  <si>
    <t>100101/1710</t>
  </si>
  <si>
    <t>100101/9678          F4K5 204</t>
  </si>
  <si>
    <t>SBO</t>
  </si>
  <si>
    <t>SJF-832</t>
  </si>
  <si>
    <t>GRANDIA</t>
  </si>
  <si>
    <t>SJ-9292</t>
  </si>
  <si>
    <t>GAF-9102/090802</t>
  </si>
  <si>
    <t>BOOM TRUCK</t>
  </si>
  <si>
    <t>MAI2392</t>
  </si>
  <si>
    <t>100102/0663</t>
  </si>
  <si>
    <t>INNOVA</t>
  </si>
  <si>
    <t>MACCO</t>
  </si>
  <si>
    <t>S3F-814/102002</t>
  </si>
  <si>
    <t>1001101/3281</t>
  </si>
  <si>
    <t xml:space="preserve">BACLADO, JESSEREL </t>
  </si>
  <si>
    <t xml:space="preserve">Date </t>
  </si>
  <si>
    <t>MSWD</t>
  </si>
  <si>
    <t>SJ-9293</t>
  </si>
  <si>
    <t>100830-AAB-1423</t>
  </si>
  <si>
    <t>MAP-4973</t>
  </si>
  <si>
    <t>100103/6666</t>
  </si>
  <si>
    <t>Z01927(102003)</t>
  </si>
  <si>
    <t>1001-721242(9829)</t>
  </si>
  <si>
    <t>1001-721236(9107)</t>
  </si>
  <si>
    <t>REF VAN</t>
  </si>
  <si>
    <t>EDUARDO NIEZE</t>
  </si>
  <si>
    <t>JUNIE BINAYAO</t>
  </si>
  <si>
    <t>RAMIL LINGGIAN</t>
  </si>
  <si>
    <t>JUNIE ALIMPUANGON</t>
  </si>
  <si>
    <t>RONALD BASLAN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</si>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</sst>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mm/dd/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0"/>
      <color theme="4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6"/>
      <color theme="4"/>
      <name val="Calibri"/>
      <charset val="134"/>
      <scheme val="minor"/>
    </font>
    <font>
      <sz val="20"/>
      <color theme="4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6"/>
      <color theme="4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</cellStyleXfs>
  <cellXfs count="1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44" fontId="0" fillId="2" borderId="3" xfId="2" applyFont="1" applyFill="1" applyBorder="1"/>
    <xf numFmtId="44" fontId="0" fillId="4" borderId="0" xfId="0" applyNumberFormat="1" applyFill="1"/>
    <xf numFmtId="0" fontId="3" fillId="4" borderId="0" xfId="0" applyFont="1" applyFill="1" applyAlignment="1">
      <alignment horizontal="center" vertical="center" wrapText="1"/>
    </xf>
    <xf numFmtId="14" fontId="0" fillId="2" borderId="3" xfId="0" applyNumberFormat="1" applyFill="1" applyBorder="1"/>
    <xf numFmtId="0" fontId="5" fillId="2" borderId="3" xfId="0" applyFont="1" applyFill="1" applyBorder="1" applyAlignment="1">
      <alignment horizontal="center" vertical="center"/>
    </xf>
    <xf numFmtId="17" fontId="0" fillId="2" borderId="3" xfId="0" applyNumberFormat="1" applyFill="1" applyBorder="1"/>
    <xf numFmtId="14" fontId="0" fillId="2" borderId="4" xfId="0" applyNumberFormat="1" applyFill="1" applyBorder="1"/>
    <xf numFmtId="0" fontId="0" fillId="5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44" fontId="0" fillId="2" borderId="3" xfId="2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44" fontId="0" fillId="2" borderId="3" xfId="2" applyFont="1" applyFill="1" applyBorder="1" applyAlignment="1">
      <alignment horizontal="center" vertical="center"/>
    </xf>
    <xf numFmtId="44" fontId="0" fillId="2" borderId="3" xfId="2" applyFont="1" applyFill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44" fontId="0" fillId="2" borderId="5" xfId="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vertical="center"/>
    </xf>
    <xf numFmtId="165" fontId="0" fillId="2" borderId="3" xfId="0" applyNumberFormat="1" applyFill="1" applyBorder="1" applyAlignment="1">
      <alignment horizontal="center"/>
    </xf>
    <xf numFmtId="44" fontId="0" fillId="2" borderId="3" xfId="2" applyFont="1" applyFill="1" applyBorder="1" applyAlignment="1">
      <alignment horizontal="center" vertical="center" wrapText="1"/>
    </xf>
    <xf numFmtId="44" fontId="0" fillId="2" borderId="3" xfId="2" applyFont="1" applyFill="1" applyBorder="1" applyAlignment="1">
      <alignment horizontal="right" vertical="center" wrapText="1"/>
    </xf>
    <xf numFmtId="44" fontId="0" fillId="2" borderId="3" xfId="2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8" fillId="2" borderId="0" xfId="0" applyFont="1" applyFill="1"/>
    <xf numFmtId="0" fontId="5" fillId="2" borderId="0" xfId="0" applyFont="1" applyFill="1"/>
    <xf numFmtId="0" fontId="9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/>
    </xf>
    <xf numFmtId="44" fontId="5" fillId="2" borderId="3" xfId="2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164" fontId="5" fillId="7" borderId="0" xfId="0" applyNumberFormat="1" applyFont="1" applyFill="1"/>
    <xf numFmtId="0" fontId="10" fillId="2" borderId="0" xfId="0" applyFont="1" applyFill="1" applyAlignment="1">
      <alignment horizont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4" fontId="5" fillId="2" borderId="3" xfId="2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4" fontId="5" fillId="7" borderId="0" xfId="0" applyNumberFormat="1" applyFont="1" applyFill="1"/>
    <xf numFmtId="0" fontId="4" fillId="5" borderId="0" xfId="0" applyFont="1" applyFill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0" fontId="7" fillId="2" borderId="0" xfId="0" applyFont="1" applyFill="1"/>
    <xf numFmtId="8" fontId="0" fillId="2" borderId="3" xfId="0" applyNumberFormat="1" applyFill="1" applyBorder="1" applyAlignment="1">
      <alignment horizontal="right" vertical="center"/>
    </xf>
    <xf numFmtId="8" fontId="0" fillId="7" borderId="0" xfId="0" applyNumberFormat="1" applyFill="1"/>
    <xf numFmtId="14" fontId="4" fillId="2" borderId="0" xfId="0" applyNumberFormat="1" applyFont="1" applyFill="1"/>
    <xf numFmtId="0" fontId="2" fillId="2" borderId="0" xfId="0" applyFont="1" applyFill="1"/>
    <xf numFmtId="8" fontId="0" fillId="2" borderId="3" xfId="1" applyNumberFormat="1" applyFont="1" applyFill="1" applyBorder="1" applyAlignment="1">
      <alignment horizontal="right" vertical="center"/>
    </xf>
    <xf numFmtId="0" fontId="11" fillId="2" borderId="0" xfId="0" applyFont="1" applyFill="1"/>
    <xf numFmtId="14" fontId="0" fillId="2" borderId="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9" borderId="0" xfId="0" applyNumberFormat="1" applyFill="1"/>
    <xf numFmtId="0" fontId="14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Currency" xfId="2" builtinId="4"/>
    <cellStyle name="Currency 2" xfId="4"/>
    <cellStyle name="Normal" xfId="0" builtinId="0"/>
    <cellStyle name="Normal 2" xfId="5"/>
  </cellStyles>
  <dxfs count="63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</dxfs>
  <tableStyles count="0" defaultTableStyle="TableStyleMedium2" defaultPivotStyle="PivotStyleLight16"/>
  <colors>
    <mruColors>
      <color rgb="FFB2B2B2"/>
      <color rgb="FF969696"/>
      <color rgb="FFEA871A"/>
      <color rgb="FFEA7A14"/>
      <color rgb="FF96790E"/>
      <color rgb="FFFF6600"/>
      <color rgb="FFFF9900"/>
      <color rgb="FFEDFD23"/>
      <color rgb="FFB2AE16"/>
      <color rgb="FFBBB7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518160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5547360" y="179260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</sheetPr>
  <dimension ref="A1:Q26"/>
  <sheetViews>
    <sheetView topLeftCell="C1" zoomScaleNormal="100" workbookViewId="0">
      <selection activeCell="I15" sqref="I15"/>
    </sheetView>
  </sheetViews>
  <sheetFormatPr defaultColWidth="8.85546875" defaultRowHeight="15"/>
  <cols>
    <col min="1" max="1" width="13.42578125" style="1" customWidth="1"/>
    <col min="2" max="2" width="17.7109375" style="1" customWidth="1"/>
    <col min="3" max="3" width="16.28515625" style="1" customWidth="1"/>
    <col min="4" max="4" width="10.85546875" style="1" customWidth="1"/>
    <col min="5" max="5" width="14.85546875" style="1" customWidth="1"/>
    <col min="6" max="6" width="12.7109375" style="1" customWidth="1"/>
    <col min="7" max="7" width="12.5703125" style="1" customWidth="1"/>
    <col min="8" max="8" width="12.28515625" style="1" customWidth="1"/>
    <col min="9" max="9" width="13.85546875" style="1" customWidth="1"/>
    <col min="10" max="10" width="11.28515625" style="1" customWidth="1"/>
    <col min="11" max="11" width="27.28515625" style="1" customWidth="1"/>
    <col min="12" max="12" width="18.85546875" style="1" customWidth="1"/>
    <col min="13" max="13" width="20.7109375" style="1" customWidth="1"/>
    <col min="14" max="14" width="25" style="1" customWidth="1"/>
    <col min="15" max="15" width="23.28515625" style="1" customWidth="1"/>
    <col min="16" max="16" width="12.85546875" style="1" customWidth="1"/>
    <col min="17" max="17" width="10.7109375" style="1" customWidth="1"/>
    <col min="18" max="18" width="11.7109375" style="1" customWidth="1"/>
    <col min="19" max="19" width="14.140625" style="1" customWidth="1"/>
    <col min="20" max="16384" width="8.85546875" style="1"/>
  </cols>
  <sheetData>
    <row r="1" spans="1:16">
      <c r="A1" s="74" t="s">
        <v>0</v>
      </c>
    </row>
    <row r="2" spans="1:16">
      <c r="A2" s="75">
        <f ca="1">TODAY()</f>
        <v>46085</v>
      </c>
    </row>
    <row r="3" spans="1:16">
      <c r="B3" s="79"/>
    </row>
    <row r="4" spans="1:16" ht="26.25">
      <c r="G4" s="80" t="s">
        <v>1</v>
      </c>
    </row>
    <row r="5" spans="1:16" ht="30">
      <c r="A5" s="93" t="s">
        <v>2</v>
      </c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91" t="s">
        <v>13</v>
      </c>
      <c r="M5" s="91"/>
      <c r="N5" s="19" t="s">
        <v>14</v>
      </c>
      <c r="O5" s="26" t="s">
        <v>15</v>
      </c>
      <c r="P5" s="95" t="s">
        <v>16</v>
      </c>
    </row>
    <row r="6" spans="1:16" ht="28.9" customHeight="1">
      <c r="A6" s="94"/>
      <c r="B6" s="19"/>
      <c r="C6" s="19"/>
      <c r="D6" s="19"/>
      <c r="E6" s="19"/>
      <c r="F6" s="19"/>
      <c r="G6" s="19"/>
      <c r="H6" s="19"/>
      <c r="I6" s="19"/>
      <c r="J6" s="20"/>
      <c r="K6" s="20"/>
      <c r="L6" s="19" t="s">
        <v>17</v>
      </c>
      <c r="M6" s="19" t="s">
        <v>18</v>
      </c>
      <c r="N6" s="20"/>
      <c r="O6" s="28"/>
      <c r="P6" s="91"/>
    </row>
    <row r="7" spans="1:16">
      <c r="A7" s="6"/>
      <c r="B7" s="7" t="s">
        <v>19</v>
      </c>
      <c r="C7" s="6" t="s">
        <v>20</v>
      </c>
      <c r="D7" s="6" t="s">
        <v>21</v>
      </c>
      <c r="E7" s="6" t="s">
        <v>22</v>
      </c>
      <c r="F7" s="6"/>
      <c r="G7" s="81">
        <v>5730.74</v>
      </c>
      <c r="H7" s="77">
        <v>2410</v>
      </c>
      <c r="I7" s="31">
        <v>45383</v>
      </c>
      <c r="J7" s="31">
        <f>EDATE(I7,11)</f>
        <v>45717</v>
      </c>
      <c r="K7" s="14" t="str">
        <f ca="1">IF(A7="YES","REGISTERED",IF(J7="","PLEASE INPUT LAST REG",IF(J7-TODAY()&lt;0,"EXPIRED",IF(J7-TODAY()&lt;=14,J7-TODAY()&amp;" DAYS BEFORE EXPIRY",IF(AND(J7-TODAY()&gt;14,J7-TODAY()&lt;=29),J8-TODAY()&amp;" DAYS BEFORE 2 WEEK NOTICE",IF(J7-TODAY()&gt;=30,"Sufficient Time"))))))</f>
        <v>EXPIRED</v>
      </c>
      <c r="L7" s="83" t="s">
        <v>23</v>
      </c>
      <c r="M7" s="58" t="s">
        <v>24</v>
      </c>
      <c r="N7" s="6" t="s">
        <v>25</v>
      </c>
      <c r="O7" s="6"/>
      <c r="P7" s="6"/>
    </row>
    <row r="8" spans="1:16" ht="33.6" customHeight="1">
      <c r="A8" s="6"/>
      <c r="B8" s="7" t="s">
        <v>26</v>
      </c>
      <c r="C8" s="6">
        <v>100104</v>
      </c>
      <c r="D8" s="6" t="s">
        <v>21</v>
      </c>
      <c r="E8" s="6" t="s">
        <v>27</v>
      </c>
      <c r="F8" s="6"/>
      <c r="G8" s="77">
        <v>7744.97</v>
      </c>
      <c r="H8" s="77">
        <v>2579</v>
      </c>
      <c r="I8" s="31">
        <v>45383</v>
      </c>
      <c r="J8" s="31">
        <f>EDATE(I8,11)</f>
        <v>45717</v>
      </c>
      <c r="K8" s="14" t="str">
        <f ca="1">IF(A8="YES","REGISTERED",IF(J8="","PLEASE INPUT LAST REG",IF(J8-TODAY()&lt;0,"EXPIRED",IF(J8-TODAY()&lt;=14,J8-TODAY()&amp;" DAYS BEFORE EXPIRY",IF(AND(J8-TODAY()&gt;14,J8-TODAY()&lt;=29),J9-TODAY()&amp;" DAYS BEFORE 2 WEEK NOTICE",IF(J8-TODAY()&gt;=30,"Sufficient Time"))))))</f>
        <v>EXPIRED</v>
      </c>
      <c r="L8" s="57" t="s">
        <v>24</v>
      </c>
      <c r="M8" s="58" t="s">
        <v>24</v>
      </c>
      <c r="N8" s="6"/>
      <c r="O8" s="6"/>
      <c r="P8" s="6"/>
    </row>
    <row r="9" spans="1:16" ht="30" customHeight="1">
      <c r="A9" s="6"/>
      <c r="B9" s="7" t="s">
        <v>26</v>
      </c>
      <c r="C9" s="6" t="s">
        <v>28</v>
      </c>
      <c r="D9" s="6" t="s">
        <v>29</v>
      </c>
      <c r="E9" s="6" t="s">
        <v>30</v>
      </c>
      <c r="F9" s="6"/>
      <c r="G9" s="77">
        <v>1673.4</v>
      </c>
      <c r="H9" s="77">
        <v>250</v>
      </c>
      <c r="I9" s="31">
        <v>45383</v>
      </c>
      <c r="J9" s="31">
        <f>EDATE(I9,11)</f>
        <v>45717</v>
      </c>
      <c r="K9" s="14" t="str">
        <f ca="1">IF(A9="YES","REGISTERED",IF(J9="","PLEASE INPUT LAST REG",IF(J9-TODAY()&lt;0,"EXPIRED",IF(J9-TODAY()&lt;=14,J9-TODAY()&amp;" DAYS BEFORE EXPIRY",IF(AND(J9-TODAY()&gt;14,J9-TODAY()&lt;=29),J10-TODAY()&amp;" DAYS BEFORE 2 WEEK NOTICE",IF(J9-TODAY()&gt;=30,"Sufficient Time"))))))</f>
        <v>EXPIRED</v>
      </c>
      <c r="L9" s="83" t="s">
        <v>23</v>
      </c>
      <c r="M9" s="58" t="s">
        <v>24</v>
      </c>
      <c r="N9" s="6" t="s">
        <v>31</v>
      </c>
      <c r="O9" s="6"/>
      <c r="P9" s="6"/>
    </row>
    <row r="10" spans="1:16" ht="27" customHeight="1">
      <c r="A10" s="1" t="s">
        <v>32</v>
      </c>
      <c r="G10" s="78">
        <f>SUM(G7:G9)</f>
        <v>15149.109999999999</v>
      </c>
      <c r="H10" s="78">
        <f>SUM(H7:H9)</f>
        <v>5239</v>
      </c>
      <c r="K10" s="84"/>
    </row>
    <row r="11" spans="1:16">
      <c r="A11" s="1" t="s">
        <v>33</v>
      </c>
      <c r="K11" s="84"/>
    </row>
    <row r="12" spans="1:16">
      <c r="A12" s="1" t="s">
        <v>34</v>
      </c>
      <c r="K12" s="84"/>
    </row>
    <row r="13" spans="1:16">
      <c r="A13" s="1" t="s">
        <v>35</v>
      </c>
      <c r="K13" s="84"/>
    </row>
    <row r="14" spans="1:16">
      <c r="A14" s="1" t="s">
        <v>36</v>
      </c>
      <c r="K14" s="84"/>
    </row>
    <row r="15" spans="1:16">
      <c r="A15" s="1" t="s">
        <v>37</v>
      </c>
      <c r="K15" s="84"/>
    </row>
    <row r="16" spans="1:16">
      <c r="A16" s="1" t="s">
        <v>38</v>
      </c>
      <c r="K16" s="84"/>
    </row>
    <row r="17" spans="2:17">
      <c r="B17" s="92"/>
      <c r="C17" s="92"/>
      <c r="D17" s="92"/>
      <c r="E17" s="92"/>
      <c r="K17" s="84"/>
    </row>
    <row r="18" spans="2:17">
      <c r="K18" s="84"/>
    </row>
    <row r="19" spans="2:17">
      <c r="K19" s="84"/>
    </row>
    <row r="22" spans="2:17" ht="14.45" customHeight="1"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2:17" ht="14.45" customHeight="1"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2:17" ht="14.45" customHeight="1"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2:17" ht="14.45" customHeight="1"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2:17" ht="14.45" customHeight="1"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</sheetData>
  <mergeCells count="4">
    <mergeCell ref="L5:M5"/>
    <mergeCell ref="B17:E17"/>
    <mergeCell ref="A5:A6"/>
    <mergeCell ref="P5:P6"/>
  </mergeCells>
  <conditionalFormatting sqref="K7:K17">
    <cfRule type="containsText" dxfId="62" priority="2" operator="containsText" text=" DAYS BEFORE EXPIRY">
      <formula>NOT(ISERROR(SEARCH(" DAYS BEFORE EXPIRY",K7)))</formula>
    </cfRule>
    <cfRule type="containsText" dxfId="61" priority="3" operator="containsText" text="DAYS BEFORE 2 WEEK NOTICE">
      <formula>NOT(ISERROR(SEARCH("DAYS BEFORE 2 WEEK NOTICE",K7)))</formula>
    </cfRule>
    <cfRule type="containsText" dxfId="60" priority="4" operator="containsText" text="PLEASE INPUT LAST REG">
      <formula>NOT(ISERROR(SEARCH("PLEASE INPUT LAST REG",K7)))</formula>
    </cfRule>
    <cfRule type="cellIs" dxfId="59" priority="5" operator="equal">
      <formula>"EXPIRED"</formula>
    </cfRule>
    <cfRule type="cellIs" dxfId="58" priority="6" operator="equal">
      <formula>"SUFFICIENT TIME"</formula>
    </cfRule>
  </conditionalFormatting>
  <conditionalFormatting sqref="K7:K9">
    <cfRule type="containsText" dxfId="57" priority="1" operator="containsText" text="REGISTERED">
      <formula>NOT(ISERROR(SEARCH("REGISTERED",K7)))</formula>
    </cfRule>
  </conditionalFormatting>
  <conditionalFormatting sqref="K18:K19">
    <cfRule type="cellIs" dxfId="56" priority="7" operator="equal">
      <formula>"DAYS BEFORE EXPIRY"</formula>
    </cfRule>
    <cfRule type="cellIs" dxfId="55" priority="8" operator="equal">
      <formula>"EXPIRED"</formula>
    </cfRule>
    <cfRule type="cellIs" dxfId="54" priority="9" operator="equal">
      <formula>"SUFFICIENT TIME"</formula>
    </cfRule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/>
  </sheetPr>
  <dimension ref="A1:P21"/>
  <sheetViews>
    <sheetView topLeftCell="A4" zoomScale="85" zoomScaleNormal="85" workbookViewId="0">
      <selection activeCell="A13" sqref="A13"/>
    </sheetView>
  </sheetViews>
  <sheetFormatPr defaultColWidth="8.85546875" defaultRowHeight="15"/>
  <cols>
    <col min="1" max="1" width="13.7109375" style="1" customWidth="1"/>
    <col min="2" max="2" width="18.7109375" style="1" customWidth="1"/>
    <col min="3" max="4" width="13.140625" style="1" customWidth="1"/>
    <col min="5" max="5" width="10" style="1" customWidth="1"/>
    <col min="6" max="6" width="9.42578125" style="1" customWidth="1"/>
    <col min="7" max="7" width="11.85546875" style="1" customWidth="1"/>
    <col min="8" max="8" width="13.28515625" style="1" customWidth="1"/>
    <col min="9" max="9" width="11.28515625" style="1" customWidth="1"/>
    <col min="10" max="10" width="13.140625" style="1" customWidth="1"/>
    <col min="11" max="11" width="20.5703125" style="1" customWidth="1"/>
    <col min="12" max="12" width="13" style="1" customWidth="1"/>
    <col min="13" max="13" width="12.28515625" style="1" customWidth="1"/>
    <col min="14" max="14" width="9.28515625" style="1" customWidth="1"/>
    <col min="15" max="15" width="14.42578125" style="1" customWidth="1"/>
    <col min="16" max="18" width="13.140625" style="1" customWidth="1"/>
    <col min="19" max="16384" width="8.85546875" style="1"/>
  </cols>
  <sheetData>
    <row r="1" spans="1:16">
      <c r="A1" s="74" t="s">
        <v>0</v>
      </c>
    </row>
    <row r="2" spans="1:16">
      <c r="A2" s="75">
        <f ca="1">TODAY()</f>
        <v>46085</v>
      </c>
    </row>
    <row r="4" spans="1:16" ht="14.45" customHeight="1">
      <c r="E4" s="76"/>
      <c r="F4" s="76"/>
      <c r="G4" s="98" t="s">
        <v>1</v>
      </c>
      <c r="H4" s="98"/>
      <c r="I4" s="98"/>
      <c r="J4" s="98"/>
      <c r="K4" s="98"/>
      <c r="L4" s="98"/>
    </row>
    <row r="5" spans="1:16" ht="14.45" customHeight="1">
      <c r="D5" s="76"/>
      <c r="E5" s="76"/>
      <c r="F5" s="76"/>
      <c r="G5" s="98"/>
      <c r="H5" s="98"/>
      <c r="I5" s="98"/>
      <c r="J5" s="98"/>
      <c r="K5" s="98"/>
      <c r="L5" s="98"/>
    </row>
    <row r="6" spans="1:16" ht="14.45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11</v>
      </c>
      <c r="L6" s="91" t="s">
        <v>13</v>
      </c>
      <c r="M6" s="91"/>
      <c r="N6" s="91" t="s">
        <v>14</v>
      </c>
      <c r="O6" s="95" t="s">
        <v>15</v>
      </c>
      <c r="P6" s="95" t="s">
        <v>16</v>
      </c>
    </row>
    <row r="7" spans="1:16" ht="35.450000000000003" customHeight="1">
      <c r="A7" s="94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1"/>
    </row>
    <row r="8" spans="1:16">
      <c r="A8" s="6"/>
      <c r="B8" s="7" t="s">
        <v>39</v>
      </c>
      <c r="C8" s="6" t="s">
        <v>40</v>
      </c>
      <c r="D8" s="6"/>
      <c r="E8" s="6" t="s">
        <v>41</v>
      </c>
      <c r="F8" s="6"/>
      <c r="G8" s="77">
        <v>1860.85</v>
      </c>
      <c r="H8" s="77">
        <v>250</v>
      </c>
      <c r="I8" s="31">
        <v>45443</v>
      </c>
      <c r="J8" s="31">
        <f>EDATE(I8,11)</f>
        <v>45777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57" t="s">
        <v>42</v>
      </c>
      <c r="M8" s="58" t="s">
        <v>43</v>
      </c>
      <c r="N8" s="6"/>
      <c r="O8" s="77">
        <v>69950</v>
      </c>
      <c r="P8" s="31">
        <v>41560</v>
      </c>
    </row>
    <row r="9" spans="1:16">
      <c r="A9" s="6"/>
      <c r="B9" s="7" t="s">
        <v>44</v>
      </c>
      <c r="C9" s="6" t="s">
        <v>45</v>
      </c>
      <c r="D9" s="6" t="s">
        <v>21</v>
      </c>
      <c r="E9" s="6" t="s">
        <v>46</v>
      </c>
      <c r="F9" s="6"/>
      <c r="G9" s="77">
        <v>7169.62</v>
      </c>
      <c r="H9" s="77">
        <v>2410</v>
      </c>
      <c r="I9" s="31">
        <v>45443</v>
      </c>
      <c r="J9" s="31">
        <f t="shared" ref="J9:J14" si="0">EDATE(I9,11)</f>
        <v>45777</v>
      </c>
      <c r="K9" s="14" t="str">
        <f t="shared" ref="K9:K14" ca="1" si="1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57" t="s">
        <v>42</v>
      </c>
      <c r="M9" s="58" t="s">
        <v>43</v>
      </c>
      <c r="N9" s="6"/>
      <c r="O9" s="77">
        <v>833000</v>
      </c>
      <c r="P9" s="31">
        <v>42206</v>
      </c>
    </row>
    <row r="10" spans="1:16">
      <c r="A10" s="6"/>
      <c r="B10" s="7" t="s">
        <v>47</v>
      </c>
      <c r="C10" s="6" t="s">
        <v>48</v>
      </c>
      <c r="D10" s="6"/>
      <c r="E10" s="6" t="s">
        <v>41</v>
      </c>
      <c r="F10" s="6"/>
      <c r="G10" s="77">
        <v>1829.85</v>
      </c>
      <c r="H10" s="77">
        <v>250</v>
      </c>
      <c r="I10" s="31">
        <v>45443</v>
      </c>
      <c r="J10" s="31">
        <f t="shared" si="0"/>
        <v>45777</v>
      </c>
      <c r="K10" s="14" t="str">
        <f t="shared" ca="1" si="1"/>
        <v>EXPIRED</v>
      </c>
      <c r="L10" s="57" t="s">
        <v>42</v>
      </c>
      <c r="M10" s="58" t="s">
        <v>43</v>
      </c>
      <c r="N10" s="6"/>
      <c r="O10" s="77">
        <v>76100</v>
      </c>
      <c r="P10" s="31">
        <v>43830</v>
      </c>
    </row>
    <row r="11" spans="1:16">
      <c r="A11" s="6"/>
      <c r="B11" s="7" t="s">
        <v>49</v>
      </c>
      <c r="C11" s="6" t="s">
        <v>50</v>
      </c>
      <c r="D11" s="6"/>
      <c r="E11" s="6" t="s">
        <v>41</v>
      </c>
      <c r="F11" s="6"/>
      <c r="G11" s="77">
        <v>1767.35</v>
      </c>
      <c r="H11" s="77">
        <v>250</v>
      </c>
      <c r="I11" s="31">
        <v>45443</v>
      </c>
      <c r="J11" s="31">
        <f t="shared" si="0"/>
        <v>45777</v>
      </c>
      <c r="K11" s="14" t="str">
        <f t="shared" ca="1" si="1"/>
        <v>EXPIRED</v>
      </c>
      <c r="L11" s="57" t="s">
        <v>42</v>
      </c>
      <c r="M11" s="58" t="s">
        <v>43</v>
      </c>
      <c r="N11" s="6"/>
      <c r="O11" s="77">
        <v>117421</v>
      </c>
      <c r="P11" s="31">
        <v>39547</v>
      </c>
    </row>
    <row r="12" spans="1:16">
      <c r="A12" s="6"/>
      <c r="B12" s="7" t="s">
        <v>51</v>
      </c>
      <c r="C12" s="6" t="s">
        <v>52</v>
      </c>
      <c r="D12" s="6"/>
      <c r="E12" s="6" t="s">
        <v>41</v>
      </c>
      <c r="F12" s="6"/>
      <c r="G12" s="77">
        <v>1916.75</v>
      </c>
      <c r="H12" s="77">
        <v>250</v>
      </c>
      <c r="I12" s="31">
        <v>45443</v>
      </c>
      <c r="J12" s="31">
        <f t="shared" si="0"/>
        <v>45777</v>
      </c>
      <c r="K12" s="14" t="str">
        <f t="shared" ca="1" si="1"/>
        <v>EXPIRED</v>
      </c>
      <c r="L12" s="57" t="s">
        <v>42</v>
      </c>
      <c r="M12" s="58" t="s">
        <v>43</v>
      </c>
      <c r="N12" s="6"/>
      <c r="O12" s="77">
        <v>97500</v>
      </c>
      <c r="P12" s="31">
        <v>44337</v>
      </c>
    </row>
    <row r="13" spans="1:16">
      <c r="A13" s="6"/>
      <c r="B13" s="7" t="s">
        <v>51</v>
      </c>
      <c r="C13" s="6" t="s">
        <v>53</v>
      </c>
      <c r="D13" s="7"/>
      <c r="E13" s="6" t="s">
        <v>41</v>
      </c>
      <c r="F13" s="6"/>
      <c r="G13" s="77">
        <v>1916.75</v>
      </c>
      <c r="H13" s="77">
        <v>250</v>
      </c>
      <c r="I13" s="31">
        <v>45443</v>
      </c>
      <c r="J13" s="31">
        <f t="shared" si="0"/>
        <v>45777</v>
      </c>
      <c r="K13" s="14" t="str">
        <f t="shared" ca="1" si="1"/>
        <v>EXPIRED</v>
      </c>
      <c r="L13" s="57" t="s">
        <v>42</v>
      </c>
      <c r="M13" s="58" t="s">
        <v>43</v>
      </c>
      <c r="N13" s="6"/>
      <c r="O13" s="77">
        <v>97500</v>
      </c>
      <c r="P13" s="31">
        <v>44337</v>
      </c>
    </row>
    <row r="14" spans="1:16">
      <c r="A14" s="6"/>
      <c r="B14" s="7" t="s">
        <v>54</v>
      </c>
      <c r="C14" s="6" t="s">
        <v>55</v>
      </c>
      <c r="D14" s="6"/>
      <c r="E14" s="6" t="s">
        <v>41</v>
      </c>
      <c r="F14" s="6"/>
      <c r="G14" s="77">
        <v>1891.85</v>
      </c>
      <c r="H14" s="77">
        <v>250</v>
      </c>
      <c r="I14" s="31">
        <v>45443</v>
      </c>
      <c r="J14" s="31">
        <f t="shared" si="0"/>
        <v>45777</v>
      </c>
      <c r="K14" s="14" t="str">
        <f t="shared" ca="1" si="1"/>
        <v>EXPIRED</v>
      </c>
      <c r="L14" s="57" t="s">
        <v>42</v>
      </c>
      <c r="M14" s="58" t="s">
        <v>43</v>
      </c>
      <c r="N14" s="6"/>
      <c r="O14" s="77">
        <v>85008</v>
      </c>
      <c r="P14" s="31">
        <v>44378</v>
      </c>
    </row>
    <row r="15" spans="1:16">
      <c r="A15" s="1" t="s">
        <v>32</v>
      </c>
      <c r="G15" s="78">
        <f>SUM(G8:G14)</f>
        <v>18353.019999999997</v>
      </c>
      <c r="H15" s="78">
        <f>SUM(H8:H14)</f>
        <v>3910</v>
      </c>
      <c r="O15" s="78">
        <f>SUM(O8:O14)</f>
        <v>1376479</v>
      </c>
    </row>
    <row r="16" spans="1:16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</sheetData>
  <mergeCells count="16">
    <mergeCell ref="N6:N7"/>
    <mergeCell ref="O6:O7"/>
    <mergeCell ref="P6:P7"/>
    <mergeCell ref="G4:L5"/>
    <mergeCell ref="L6:M6"/>
    <mergeCell ref="K6:K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conditionalFormatting sqref="K8:K14">
    <cfRule type="containsText" dxfId="53" priority="1" operator="containsText" text="REGISTERED">
      <formula>NOT(ISERROR(SEARCH("REGISTERED",K8)))</formula>
    </cfRule>
    <cfRule type="containsText" dxfId="52" priority="2" operator="containsText" text=" DAYS BEFORE EXPIRY">
      <formula>NOT(ISERROR(SEARCH(" DAYS BEFORE EXPIRY",K8)))</formula>
    </cfRule>
    <cfRule type="containsText" dxfId="51" priority="3" operator="containsText" text="DAYS BEFORE 2 WEEK NOTICE">
      <formula>NOT(ISERROR(SEARCH("DAYS BEFORE 2 WEEK NOTICE",K8)))</formula>
    </cfRule>
    <cfRule type="containsText" dxfId="50" priority="4" operator="containsText" text="PLEASE INPUT LAST REG">
      <formula>NOT(ISERROR(SEARCH("PLEASE INPUT LAST REG",K8)))</formula>
    </cfRule>
    <cfRule type="cellIs" dxfId="49" priority="5" operator="equal">
      <formula>"EXPIRED"</formula>
    </cfRule>
    <cfRule type="cellIs" dxfId="48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/>
  </sheetPr>
  <dimension ref="A1:P25"/>
  <sheetViews>
    <sheetView tabSelected="1" topLeftCell="A3" zoomScale="85" zoomScaleNormal="85" workbookViewId="0">
      <selection activeCell="E21" sqref="E21"/>
    </sheetView>
  </sheetViews>
  <sheetFormatPr defaultColWidth="8.85546875" defaultRowHeight="15"/>
  <cols>
    <col min="1" max="1" width="13.5703125" style="59" customWidth="1"/>
    <col min="2" max="2" width="20.140625" style="59" customWidth="1"/>
    <col min="3" max="3" width="16.5703125" style="59" customWidth="1"/>
    <col min="4" max="4" width="15.5703125" style="59" customWidth="1"/>
    <col min="5" max="5" width="13.85546875" style="59" customWidth="1"/>
    <col min="6" max="6" width="13.7109375" style="59" customWidth="1"/>
    <col min="7" max="7" width="13.28515625" style="59" customWidth="1"/>
    <col min="8" max="8" width="14.85546875" style="59" customWidth="1"/>
    <col min="9" max="9" width="11.85546875" style="59" customWidth="1"/>
    <col min="10" max="10" width="12.7109375" style="59" customWidth="1"/>
    <col min="11" max="11" width="32.7109375" style="59" customWidth="1"/>
    <col min="12" max="12" width="13.28515625" style="59" customWidth="1"/>
    <col min="13" max="13" width="11.28515625" style="59" customWidth="1"/>
    <col min="14" max="14" width="12.28515625" style="59" customWidth="1"/>
    <col min="15" max="15" width="16.28515625" style="59" customWidth="1"/>
    <col min="16" max="16" width="14.42578125" style="59" customWidth="1"/>
    <col min="17" max="17" width="14.85546875" style="59" customWidth="1"/>
    <col min="18" max="16384" width="8.85546875" style="59"/>
  </cols>
  <sheetData>
    <row r="1" spans="1:16">
      <c r="A1" s="17" t="s">
        <v>0</v>
      </c>
    </row>
    <row r="2" spans="1:16">
      <c r="A2" s="18">
        <f ca="1">TODAY()</f>
        <v>46085</v>
      </c>
    </row>
    <row r="3" spans="1:16" ht="14.45" customHeight="1">
      <c r="B3" s="60"/>
      <c r="E3" s="98" t="s">
        <v>1</v>
      </c>
      <c r="F3" s="98"/>
      <c r="G3" s="98"/>
      <c r="H3" s="98"/>
      <c r="I3" s="98"/>
      <c r="J3" s="98"/>
      <c r="K3" s="98"/>
    </row>
    <row r="4" spans="1:16" ht="14.45" customHeight="1">
      <c r="E4" s="98"/>
      <c r="F4" s="98"/>
      <c r="G4" s="98"/>
      <c r="H4" s="98"/>
      <c r="I4" s="98"/>
      <c r="J4" s="98"/>
      <c r="K4" s="98"/>
      <c r="L4" s="66"/>
    </row>
    <row r="5" spans="1:16" ht="14.45" customHeight="1">
      <c r="E5" s="98"/>
      <c r="F5" s="98"/>
      <c r="G5" s="98"/>
      <c r="H5" s="98"/>
      <c r="I5" s="98"/>
      <c r="J5" s="98"/>
      <c r="K5" s="98"/>
      <c r="L5" s="66"/>
    </row>
    <row r="6" spans="1:16" ht="28.9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12</v>
      </c>
      <c r="L6" s="99" t="s">
        <v>13</v>
      </c>
      <c r="M6" s="99"/>
      <c r="N6" s="91" t="s">
        <v>14</v>
      </c>
      <c r="O6" s="95" t="s">
        <v>15</v>
      </c>
      <c r="P6" s="95" t="s">
        <v>16</v>
      </c>
    </row>
    <row r="7" spans="1:16" ht="30" customHeight="1">
      <c r="A7" s="94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7"/>
    </row>
    <row r="8" spans="1:16" ht="21.6" customHeight="1">
      <c r="A8" s="14"/>
      <c r="B8" s="61" t="s">
        <v>19</v>
      </c>
      <c r="C8" s="14" t="s">
        <v>56</v>
      </c>
      <c r="D8" s="14" t="s">
        <v>57</v>
      </c>
      <c r="E8" s="14" t="s">
        <v>58</v>
      </c>
      <c r="F8" s="14"/>
      <c r="G8" s="62">
        <v>6721.42</v>
      </c>
      <c r="H8" s="62">
        <v>2410</v>
      </c>
      <c r="I8" s="67">
        <v>45471</v>
      </c>
      <c r="J8" s="31">
        <v>45805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68" t="s">
        <v>59</v>
      </c>
      <c r="M8" s="69" t="s">
        <v>60</v>
      </c>
      <c r="N8" s="14"/>
      <c r="O8" s="70">
        <v>883000</v>
      </c>
      <c r="P8" s="71" t="s">
        <v>61</v>
      </c>
    </row>
    <row r="9" spans="1:16">
      <c r="A9" s="14"/>
      <c r="B9" s="61" t="s">
        <v>49</v>
      </c>
      <c r="C9" s="14" t="s">
        <v>62</v>
      </c>
      <c r="D9" s="14" t="s">
        <v>63</v>
      </c>
      <c r="E9" s="14" t="s">
        <v>30</v>
      </c>
      <c r="F9" s="14"/>
      <c r="G9" s="63">
        <v>1716.15</v>
      </c>
      <c r="H9" s="62">
        <v>250</v>
      </c>
      <c r="I9" s="67">
        <v>45471</v>
      </c>
      <c r="J9" s="31">
        <v>45805</v>
      </c>
      <c r="K9" s="14" t="str">
        <f t="shared" ref="K9:K18" ca="1" si="0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68" t="s">
        <v>59</v>
      </c>
      <c r="M9" s="69" t="s">
        <v>60</v>
      </c>
      <c r="N9" s="14"/>
      <c r="O9" s="70">
        <v>90000</v>
      </c>
      <c r="P9" s="71" t="s">
        <v>64</v>
      </c>
    </row>
    <row r="10" spans="1:16">
      <c r="A10" s="14"/>
      <c r="B10" s="61" t="s">
        <v>49</v>
      </c>
      <c r="C10" s="14" t="s">
        <v>65</v>
      </c>
      <c r="D10" s="14" t="s">
        <v>29</v>
      </c>
      <c r="E10" s="14" t="s">
        <v>30</v>
      </c>
      <c r="F10" s="14"/>
      <c r="G10" s="63">
        <v>1736.15</v>
      </c>
      <c r="H10" s="62">
        <v>250</v>
      </c>
      <c r="I10" s="67">
        <v>45471</v>
      </c>
      <c r="J10" s="31">
        <v>45805</v>
      </c>
      <c r="K10" s="14" t="str">
        <f t="shared" ca="1" si="0"/>
        <v>EXPIRED</v>
      </c>
      <c r="L10" s="68" t="s">
        <v>59</v>
      </c>
      <c r="M10" s="69" t="s">
        <v>60</v>
      </c>
      <c r="N10" s="14" t="s">
        <v>66</v>
      </c>
      <c r="O10" s="70">
        <v>67200</v>
      </c>
      <c r="P10" s="71" t="s">
        <v>67</v>
      </c>
    </row>
    <row r="11" spans="1:16">
      <c r="A11" s="14"/>
      <c r="B11" s="61" t="s">
        <v>68</v>
      </c>
      <c r="C11" s="14">
        <v>123006</v>
      </c>
      <c r="D11" s="14" t="s">
        <v>69</v>
      </c>
      <c r="E11" s="14" t="s">
        <v>70</v>
      </c>
      <c r="F11" s="14"/>
      <c r="G11" s="63">
        <v>21355.4</v>
      </c>
      <c r="H11" s="62">
        <v>7760</v>
      </c>
      <c r="I11" s="67">
        <v>45471</v>
      </c>
      <c r="J11" s="31">
        <v>45805</v>
      </c>
      <c r="K11" s="14" t="str">
        <f t="shared" ca="1" si="0"/>
        <v>EXPIRED</v>
      </c>
      <c r="L11" s="68" t="s">
        <v>59</v>
      </c>
      <c r="M11" s="69" t="s">
        <v>60</v>
      </c>
      <c r="N11" s="14"/>
      <c r="O11" s="70">
        <v>3500</v>
      </c>
      <c r="P11" s="71" t="s">
        <v>71</v>
      </c>
    </row>
    <row r="12" spans="1:16">
      <c r="A12" s="14"/>
      <c r="B12" s="61" t="s">
        <v>19</v>
      </c>
      <c r="C12" s="14" t="s">
        <v>72</v>
      </c>
      <c r="D12" s="14" t="s">
        <v>63</v>
      </c>
      <c r="E12" s="14" t="s">
        <v>30</v>
      </c>
      <c r="F12" s="14"/>
      <c r="G12" s="63">
        <v>1923.35</v>
      </c>
      <c r="H12" s="62">
        <v>250</v>
      </c>
      <c r="I12" s="67">
        <v>45471</v>
      </c>
      <c r="J12" s="31">
        <v>45836</v>
      </c>
      <c r="K12" s="14" t="str">
        <f t="shared" ca="1" si="0"/>
        <v>EXPIRED</v>
      </c>
      <c r="L12" s="68" t="s">
        <v>59</v>
      </c>
      <c r="M12" s="69" t="s">
        <v>60</v>
      </c>
      <c r="N12" s="14"/>
      <c r="O12" s="70">
        <v>84900</v>
      </c>
      <c r="P12" s="14" t="s">
        <v>73</v>
      </c>
    </row>
    <row r="13" spans="1:16" ht="22.15" customHeight="1">
      <c r="A13" s="14"/>
      <c r="B13" s="61" t="s">
        <v>74</v>
      </c>
      <c r="C13" s="14" t="s">
        <v>75</v>
      </c>
      <c r="D13" s="14" t="s">
        <v>63</v>
      </c>
      <c r="E13" s="14" t="s">
        <v>30</v>
      </c>
      <c r="F13" s="14"/>
      <c r="G13" s="63">
        <v>1923.35</v>
      </c>
      <c r="H13" s="62">
        <v>250</v>
      </c>
      <c r="I13" s="67">
        <v>45471</v>
      </c>
      <c r="J13" s="31">
        <v>45810</v>
      </c>
      <c r="K13" s="14" t="str">
        <f t="shared" ca="1" si="0"/>
        <v>EXPIRED</v>
      </c>
      <c r="L13" s="68" t="s">
        <v>59</v>
      </c>
      <c r="M13" s="69" t="s">
        <v>60</v>
      </c>
      <c r="N13" s="14"/>
      <c r="O13" s="70">
        <v>84900</v>
      </c>
      <c r="P13" s="14" t="s">
        <v>73</v>
      </c>
    </row>
    <row r="14" spans="1:16" ht="30">
      <c r="A14" s="14"/>
      <c r="B14" s="61" t="s">
        <v>76</v>
      </c>
      <c r="C14" s="14" t="s">
        <v>77</v>
      </c>
      <c r="D14" s="14" t="s">
        <v>57</v>
      </c>
      <c r="E14" s="64" t="s">
        <v>78</v>
      </c>
      <c r="F14" s="14"/>
      <c r="G14" s="63">
        <v>35636.339999999997</v>
      </c>
      <c r="H14" s="14" t="s">
        <v>79</v>
      </c>
      <c r="I14" s="67" t="s">
        <v>80</v>
      </c>
      <c r="J14" s="31"/>
      <c r="K14" s="14" t="str">
        <f t="shared" ca="1" si="0"/>
        <v>PLEASE INPUT LAST REG</v>
      </c>
      <c r="L14" s="68" t="s">
        <v>59</v>
      </c>
      <c r="M14" s="69" t="s">
        <v>60</v>
      </c>
      <c r="N14" s="14"/>
      <c r="O14" s="70">
        <v>4995</v>
      </c>
      <c r="P14" s="14" t="s">
        <v>81</v>
      </c>
    </row>
    <row r="15" spans="1:16">
      <c r="A15" s="14"/>
      <c r="B15" s="61" t="s">
        <v>82</v>
      </c>
      <c r="C15" s="14" t="s">
        <v>83</v>
      </c>
      <c r="D15" s="14" t="s">
        <v>63</v>
      </c>
      <c r="E15" s="14" t="s">
        <v>30</v>
      </c>
      <c r="F15" s="14"/>
      <c r="G15" s="63">
        <v>1956.07</v>
      </c>
      <c r="H15" s="14" t="s">
        <v>79</v>
      </c>
      <c r="I15" s="67" t="s">
        <v>80</v>
      </c>
      <c r="J15" s="31"/>
      <c r="K15" s="14" t="str">
        <f t="shared" ca="1" si="0"/>
        <v>PLEASE INPUT LAST REG</v>
      </c>
      <c r="L15" s="72" t="s">
        <v>84</v>
      </c>
      <c r="M15" s="69" t="s">
        <v>60</v>
      </c>
      <c r="N15" s="14"/>
      <c r="O15" s="70"/>
      <c r="P15" s="71" t="s">
        <v>85</v>
      </c>
    </row>
    <row r="16" spans="1:16">
      <c r="A16" s="14"/>
      <c r="B16" s="61" t="s">
        <v>82</v>
      </c>
      <c r="C16" s="14" t="s">
        <v>86</v>
      </c>
      <c r="D16" s="14" t="s">
        <v>63</v>
      </c>
      <c r="E16" s="14" t="s">
        <v>30</v>
      </c>
      <c r="F16" s="14"/>
      <c r="G16" s="63">
        <v>1956.07</v>
      </c>
      <c r="H16" s="14" t="s">
        <v>79</v>
      </c>
      <c r="I16" s="67" t="s">
        <v>80</v>
      </c>
      <c r="J16" s="31"/>
      <c r="K16" s="14" t="str">
        <f t="shared" ca="1" si="0"/>
        <v>PLEASE INPUT LAST REG</v>
      </c>
      <c r="L16" s="72" t="s">
        <v>84</v>
      </c>
      <c r="M16" s="69" t="s">
        <v>60</v>
      </c>
      <c r="N16" s="14"/>
      <c r="O16" s="70"/>
      <c r="P16" s="71" t="s">
        <v>85</v>
      </c>
    </row>
    <row r="17" spans="1:16">
      <c r="A17" s="14"/>
      <c r="B17" s="61" t="s">
        <v>87</v>
      </c>
      <c r="C17" s="14" t="s">
        <v>88</v>
      </c>
      <c r="D17" s="14" t="s">
        <v>29</v>
      </c>
      <c r="E17" s="14" t="s">
        <v>30</v>
      </c>
      <c r="F17" s="14"/>
      <c r="G17" s="63">
        <v>2086.1799999999998</v>
      </c>
      <c r="H17" s="14" t="s">
        <v>79</v>
      </c>
      <c r="I17" s="67" t="s">
        <v>80</v>
      </c>
      <c r="J17" s="31"/>
      <c r="K17" s="14" t="str">
        <f t="shared" ca="1" si="0"/>
        <v>PLEASE INPUT LAST REG</v>
      </c>
      <c r="L17" s="72" t="s">
        <v>84</v>
      </c>
      <c r="M17" s="69" t="s">
        <v>89</v>
      </c>
      <c r="N17" s="14"/>
      <c r="O17" s="70">
        <v>86220</v>
      </c>
      <c r="P17" s="14" t="s">
        <v>90</v>
      </c>
    </row>
    <row r="18" spans="1:16" ht="45">
      <c r="A18" s="14"/>
      <c r="B18" s="61" t="s">
        <v>82</v>
      </c>
      <c r="C18" s="14" t="s">
        <v>91</v>
      </c>
      <c r="D18" s="14" t="s">
        <v>29</v>
      </c>
      <c r="E18" s="14" t="s">
        <v>30</v>
      </c>
      <c r="F18" s="14"/>
      <c r="G18" s="63">
        <v>2054.12</v>
      </c>
      <c r="H18" s="14" t="s">
        <v>79</v>
      </c>
      <c r="I18" s="67" t="s">
        <v>80</v>
      </c>
      <c r="J18" s="31"/>
      <c r="K18" s="14" t="str">
        <f t="shared" ca="1" si="0"/>
        <v>PLEASE INPUT LAST REG</v>
      </c>
      <c r="L18" s="68" t="s">
        <v>92</v>
      </c>
      <c r="M18" s="69" t="s">
        <v>89</v>
      </c>
      <c r="N18" s="64" t="s">
        <v>93</v>
      </c>
      <c r="O18" s="70">
        <v>81030</v>
      </c>
      <c r="P18" s="14" t="s">
        <v>90</v>
      </c>
    </row>
    <row r="19" spans="1:16">
      <c r="A19" s="1" t="s">
        <v>32</v>
      </c>
      <c r="B19" s="1"/>
      <c r="C19" s="1"/>
      <c r="D19" s="1"/>
      <c r="G19" s="65">
        <f>SUM(G8:G18)</f>
        <v>79064.600000000006</v>
      </c>
      <c r="H19" s="65">
        <f>SUM(H8:H18)</f>
        <v>11170</v>
      </c>
      <c r="O19" s="73">
        <f>SUM(O8:O18)</f>
        <v>1385745</v>
      </c>
    </row>
    <row r="20" spans="1:16">
      <c r="A20" s="1" t="s">
        <v>33</v>
      </c>
      <c r="B20" s="1"/>
      <c r="C20" s="1"/>
      <c r="D20" s="1"/>
      <c r="J20" s="67"/>
    </row>
    <row r="21" spans="1:16">
      <c r="A21" s="1" t="s">
        <v>34</v>
      </c>
      <c r="B21" s="1"/>
      <c r="C21" s="1"/>
      <c r="D21" s="1"/>
    </row>
    <row r="22" spans="1:16">
      <c r="A22" s="1" t="s">
        <v>35</v>
      </c>
      <c r="B22" s="1"/>
      <c r="C22" s="1"/>
      <c r="D22" s="1"/>
    </row>
    <row r="23" spans="1:16">
      <c r="A23" s="1" t="s">
        <v>36</v>
      </c>
      <c r="B23" s="1"/>
      <c r="C23" s="1"/>
      <c r="D23" s="1"/>
    </row>
    <row r="24" spans="1:16">
      <c r="A24" s="1" t="s">
        <v>37</v>
      </c>
      <c r="B24" s="1"/>
      <c r="C24" s="1"/>
      <c r="D24" s="1"/>
    </row>
    <row r="25" spans="1:16">
      <c r="A25" s="1" t="s">
        <v>38</v>
      </c>
      <c r="B25" s="1"/>
      <c r="C25" s="1"/>
      <c r="D25" s="1"/>
    </row>
  </sheetData>
  <mergeCells count="16">
    <mergeCell ref="N6:N7"/>
    <mergeCell ref="O6:O7"/>
    <mergeCell ref="P6:P7"/>
    <mergeCell ref="E3:K5"/>
    <mergeCell ref="L6:M6"/>
    <mergeCell ref="F6:F7"/>
    <mergeCell ref="G6:G7"/>
    <mergeCell ref="H6:H7"/>
    <mergeCell ref="I6:I7"/>
    <mergeCell ref="J6:J7"/>
    <mergeCell ref="K6:K7"/>
    <mergeCell ref="A6:A7"/>
    <mergeCell ref="B6:B7"/>
    <mergeCell ref="C6:C7"/>
    <mergeCell ref="D6:D7"/>
    <mergeCell ref="E6:E7"/>
  </mergeCells>
  <conditionalFormatting sqref="K8:K18">
    <cfRule type="containsText" dxfId="47" priority="1" operator="containsText" text="REGISTERED">
      <formula>NOT(ISERROR(SEARCH("REGISTERED",K8)))</formula>
    </cfRule>
    <cfRule type="containsText" dxfId="46" priority="2" operator="containsText" text=" DAYS BEFORE EXPIRY">
      <formula>NOT(ISERROR(SEARCH(" DAYS BEFORE EXPIRY",K8)))</formula>
    </cfRule>
    <cfRule type="containsText" dxfId="45" priority="3" operator="containsText" text="DAYS BEFORE 2 WEEK NOTICE">
      <formula>NOT(ISERROR(SEARCH("DAYS BEFORE 2 WEEK NOTICE",K8)))</formula>
    </cfRule>
    <cfRule type="containsText" dxfId="44" priority="4" operator="containsText" text="PLEASE INPUT LAST REG">
      <formula>NOT(ISERROR(SEARCH("PLEASE INPUT LAST REG",K8)))</formula>
    </cfRule>
    <cfRule type="cellIs" dxfId="43" priority="5" operator="equal">
      <formula>"EXPIRED"</formula>
    </cfRule>
    <cfRule type="cellIs" dxfId="42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5"/>
  </sheetPr>
  <dimension ref="A1:P27"/>
  <sheetViews>
    <sheetView topLeftCell="A10" workbookViewId="0">
      <selection activeCell="A18" sqref="A18"/>
    </sheetView>
  </sheetViews>
  <sheetFormatPr defaultColWidth="8.85546875" defaultRowHeight="15"/>
  <cols>
    <col min="1" max="1" width="20.28515625" style="1" customWidth="1"/>
    <col min="2" max="2" width="16.85546875" style="1" customWidth="1"/>
    <col min="3" max="4" width="14.28515625" style="1" customWidth="1"/>
    <col min="5" max="5" width="16.42578125" style="1" customWidth="1"/>
    <col min="6" max="6" width="13.5703125" style="1" customWidth="1"/>
    <col min="7" max="7" width="15.5703125" style="1" customWidth="1"/>
    <col min="8" max="8" width="12.140625" style="1" customWidth="1"/>
    <col min="9" max="10" width="14.28515625" style="1" customWidth="1"/>
    <col min="11" max="11" width="31.28515625" style="1" customWidth="1"/>
    <col min="12" max="12" width="12.5703125" style="1" customWidth="1"/>
    <col min="13" max="13" width="13.28515625" style="1" customWidth="1"/>
    <col min="14" max="14" width="10.85546875" style="1" customWidth="1"/>
    <col min="15" max="15" width="16.140625" style="1" customWidth="1"/>
    <col min="16" max="17" width="14.28515625" style="1" customWidth="1"/>
    <col min="18" max="16384" width="8.85546875" style="1"/>
  </cols>
  <sheetData>
    <row r="1" spans="1:16">
      <c r="A1" s="17" t="s">
        <v>0</v>
      </c>
    </row>
    <row r="2" spans="1:16">
      <c r="A2" s="18">
        <f ca="1">TODAY()</f>
        <v>46085</v>
      </c>
    </row>
    <row r="4" spans="1:16" ht="26.25">
      <c r="G4" s="98" t="s">
        <v>1</v>
      </c>
      <c r="H4" s="98"/>
      <c r="I4" s="98"/>
      <c r="J4" s="98"/>
      <c r="K4" s="98"/>
      <c r="L4" s="53"/>
    </row>
    <row r="5" spans="1:16" ht="14.45" customHeight="1">
      <c r="G5" s="98"/>
      <c r="H5" s="98"/>
      <c r="I5" s="98"/>
      <c r="J5" s="98"/>
      <c r="K5" s="98"/>
      <c r="L5" s="53"/>
    </row>
    <row r="6" spans="1:16" ht="14.45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12</v>
      </c>
      <c r="L6" s="99" t="s">
        <v>13</v>
      </c>
      <c r="M6" s="99"/>
      <c r="N6" s="91" t="s">
        <v>14</v>
      </c>
      <c r="O6" s="95" t="s">
        <v>15</v>
      </c>
      <c r="P6" s="95" t="s">
        <v>16</v>
      </c>
    </row>
    <row r="7" spans="1:16" ht="34.15" customHeight="1">
      <c r="A7" s="100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7"/>
    </row>
    <row r="8" spans="1:16">
      <c r="A8" s="6"/>
      <c r="B8" s="7" t="s">
        <v>44</v>
      </c>
      <c r="C8" s="6" t="s">
        <v>94</v>
      </c>
      <c r="D8" s="6" t="s">
        <v>63</v>
      </c>
      <c r="E8" s="6" t="s">
        <v>41</v>
      </c>
      <c r="F8" s="6"/>
      <c r="G8" s="10">
        <v>1829.85</v>
      </c>
      <c r="H8" s="10">
        <v>350</v>
      </c>
      <c r="I8" s="31">
        <v>45503</v>
      </c>
      <c r="J8" s="31">
        <v>45838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54"/>
      <c r="M8" s="55"/>
      <c r="N8" s="6"/>
      <c r="O8" s="25">
        <v>83128.5</v>
      </c>
      <c r="P8" s="56" t="s">
        <v>95</v>
      </c>
    </row>
    <row r="9" spans="1:16">
      <c r="A9" s="40"/>
      <c r="B9" s="7" t="s">
        <v>96</v>
      </c>
      <c r="C9" s="6" t="s">
        <v>97</v>
      </c>
      <c r="D9" s="6" t="s">
        <v>29</v>
      </c>
      <c r="E9" s="6" t="s">
        <v>41</v>
      </c>
      <c r="F9" s="6"/>
      <c r="G9" s="10">
        <v>1829.85</v>
      </c>
      <c r="H9" s="10">
        <v>350</v>
      </c>
      <c r="I9" s="31">
        <v>45503</v>
      </c>
      <c r="J9" s="31">
        <v>45838</v>
      </c>
      <c r="K9" s="14" t="str">
        <f t="shared" ref="K9:K20" ca="1" si="0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54"/>
      <c r="M9" s="55"/>
      <c r="N9" s="6"/>
      <c r="O9" s="25">
        <v>67200</v>
      </c>
      <c r="P9" s="56" t="s">
        <v>98</v>
      </c>
    </row>
    <row r="10" spans="1:16">
      <c r="A10" s="40"/>
      <c r="B10" s="7" t="s">
        <v>99</v>
      </c>
      <c r="C10" s="6" t="s">
        <v>100</v>
      </c>
      <c r="D10" s="6" t="s">
        <v>63</v>
      </c>
      <c r="E10" s="6" t="s">
        <v>41</v>
      </c>
      <c r="F10" s="6"/>
      <c r="G10" s="10">
        <v>1860.85</v>
      </c>
      <c r="H10" s="10">
        <v>250</v>
      </c>
      <c r="I10" s="31">
        <v>45113</v>
      </c>
      <c r="J10" s="31">
        <v>45814</v>
      </c>
      <c r="K10" s="14" t="str">
        <f t="shared" ca="1" si="0"/>
        <v>EXPIRED</v>
      </c>
      <c r="L10" s="54"/>
      <c r="M10" s="55"/>
      <c r="N10" s="6"/>
      <c r="O10" s="25">
        <v>89994</v>
      </c>
      <c r="P10" s="56" t="s">
        <v>101</v>
      </c>
    </row>
    <row r="11" spans="1:16">
      <c r="A11" s="40"/>
      <c r="B11" s="7" t="s">
        <v>49</v>
      </c>
      <c r="C11" s="6" t="s">
        <v>102</v>
      </c>
      <c r="D11" s="6" t="s">
        <v>63</v>
      </c>
      <c r="E11" s="6" t="s">
        <v>41</v>
      </c>
      <c r="F11" s="6"/>
      <c r="G11" s="10">
        <v>1860.85</v>
      </c>
      <c r="H11" s="10">
        <v>250</v>
      </c>
      <c r="I11" s="31">
        <v>45503</v>
      </c>
      <c r="J11" s="31">
        <v>45838</v>
      </c>
      <c r="K11" s="14" t="str">
        <f t="shared" ca="1" si="0"/>
        <v>EXPIRED</v>
      </c>
      <c r="L11" s="54"/>
      <c r="M11" s="55"/>
      <c r="N11" s="6"/>
      <c r="O11" s="25">
        <v>89994</v>
      </c>
      <c r="P11" s="56" t="s">
        <v>101</v>
      </c>
    </row>
    <row r="12" spans="1:16">
      <c r="A12" s="40"/>
      <c r="B12" s="7" t="s">
        <v>19</v>
      </c>
      <c r="C12" s="6" t="s">
        <v>103</v>
      </c>
      <c r="D12" s="6" t="s">
        <v>63</v>
      </c>
      <c r="E12" s="6" t="s">
        <v>41</v>
      </c>
      <c r="F12" s="6"/>
      <c r="G12" s="10">
        <v>1860.85</v>
      </c>
      <c r="H12" s="10">
        <v>250</v>
      </c>
      <c r="I12" s="31">
        <v>45503</v>
      </c>
      <c r="J12" s="31">
        <v>45838</v>
      </c>
      <c r="K12" s="14" t="str">
        <f t="shared" ca="1" si="0"/>
        <v>EXPIRED</v>
      </c>
      <c r="L12" s="54"/>
      <c r="M12" s="55"/>
      <c r="N12" s="6"/>
      <c r="O12" s="25">
        <v>89994</v>
      </c>
      <c r="P12" s="56" t="s">
        <v>101</v>
      </c>
    </row>
    <row r="13" spans="1:16">
      <c r="A13" s="40"/>
      <c r="B13" s="7" t="s">
        <v>104</v>
      </c>
      <c r="C13" s="6" t="s">
        <v>105</v>
      </c>
      <c r="D13" s="6" t="s">
        <v>63</v>
      </c>
      <c r="E13" s="6" t="s">
        <v>41</v>
      </c>
      <c r="F13" s="6"/>
      <c r="G13" s="10">
        <v>2035.15</v>
      </c>
      <c r="H13" s="10">
        <v>250</v>
      </c>
      <c r="I13" s="31">
        <v>45503</v>
      </c>
      <c r="J13" s="31">
        <v>45838</v>
      </c>
      <c r="K13" s="14" t="str">
        <f t="shared" ca="1" si="0"/>
        <v>EXPIRED</v>
      </c>
      <c r="L13" s="54"/>
      <c r="M13" s="55"/>
      <c r="N13" s="6"/>
      <c r="O13" s="25">
        <v>109874</v>
      </c>
      <c r="P13" s="56" t="s">
        <v>101</v>
      </c>
    </row>
    <row r="14" spans="1:16" ht="30">
      <c r="A14" s="40"/>
      <c r="B14" s="7" t="s">
        <v>106</v>
      </c>
      <c r="C14" s="6" t="s">
        <v>107</v>
      </c>
      <c r="D14" s="6" t="s">
        <v>57</v>
      </c>
      <c r="E14" s="6" t="s">
        <v>108</v>
      </c>
      <c r="F14" s="6"/>
      <c r="G14" s="50" t="s">
        <v>109</v>
      </c>
      <c r="H14" s="25">
        <v>8867.18</v>
      </c>
      <c r="I14" s="31">
        <v>44746</v>
      </c>
      <c r="J14" s="31">
        <v>45812</v>
      </c>
      <c r="K14" s="14" t="str">
        <f t="shared" ca="1" si="0"/>
        <v>EXPIRED</v>
      </c>
      <c r="L14" s="54"/>
      <c r="M14" s="55"/>
      <c r="N14" s="6"/>
      <c r="O14" s="25">
        <v>1350000</v>
      </c>
      <c r="P14" s="56" t="s">
        <v>110</v>
      </c>
    </row>
    <row r="15" spans="1:16" ht="30">
      <c r="A15" s="40"/>
      <c r="B15" s="7" t="s">
        <v>99</v>
      </c>
      <c r="C15" s="6" t="s">
        <v>111</v>
      </c>
      <c r="D15" s="6" t="s">
        <v>57</v>
      </c>
      <c r="E15" s="6" t="s">
        <v>108</v>
      </c>
      <c r="F15" s="6"/>
      <c r="G15" s="50" t="s">
        <v>112</v>
      </c>
      <c r="H15" s="25">
        <v>8867.18</v>
      </c>
      <c r="I15" s="31">
        <v>44746</v>
      </c>
      <c r="J15" s="31">
        <v>45812</v>
      </c>
      <c r="K15" s="14" t="str">
        <f t="shared" ca="1" si="0"/>
        <v>EXPIRED</v>
      </c>
      <c r="L15" s="54"/>
      <c r="M15" s="55"/>
      <c r="N15" s="6"/>
      <c r="O15" s="25">
        <v>1350000</v>
      </c>
      <c r="P15" s="56" t="s">
        <v>110</v>
      </c>
    </row>
    <row r="16" spans="1:16" ht="30">
      <c r="A16" s="40"/>
      <c r="B16" s="7" t="s">
        <v>113</v>
      </c>
      <c r="C16" s="6" t="s">
        <v>114</v>
      </c>
      <c r="D16" s="6" t="s">
        <v>57</v>
      </c>
      <c r="E16" s="6" t="s">
        <v>108</v>
      </c>
      <c r="F16" s="6"/>
      <c r="G16" s="50" t="s">
        <v>112</v>
      </c>
      <c r="H16" s="25">
        <v>8867.18</v>
      </c>
      <c r="I16" s="31">
        <v>44746</v>
      </c>
      <c r="J16" s="31">
        <v>45812</v>
      </c>
      <c r="K16" s="14" t="str">
        <f t="shared" ca="1" si="0"/>
        <v>EXPIRED</v>
      </c>
      <c r="L16" s="54"/>
      <c r="M16" s="55"/>
      <c r="N16" s="6"/>
      <c r="O16" s="25">
        <v>1350000</v>
      </c>
      <c r="P16" s="56" t="s">
        <v>110</v>
      </c>
    </row>
    <row r="17" spans="1:16" ht="30">
      <c r="A17" s="40"/>
      <c r="B17" s="7" t="s">
        <v>115</v>
      </c>
      <c r="C17" s="6" t="s">
        <v>116</v>
      </c>
      <c r="D17" s="6" t="s">
        <v>57</v>
      </c>
      <c r="E17" s="6" t="s">
        <v>117</v>
      </c>
      <c r="F17" s="6"/>
      <c r="G17" s="51" t="s">
        <v>118</v>
      </c>
      <c r="H17" s="25">
        <v>9152.18</v>
      </c>
      <c r="I17" s="31">
        <v>45118</v>
      </c>
      <c r="J17" s="31">
        <v>45819</v>
      </c>
      <c r="K17" s="14" t="str">
        <f t="shared" ca="1" si="0"/>
        <v>EXPIRED</v>
      </c>
      <c r="L17" s="54"/>
      <c r="M17" s="55"/>
      <c r="N17" s="6"/>
      <c r="O17" s="25">
        <v>4199000</v>
      </c>
      <c r="P17" s="56"/>
    </row>
    <row r="18" spans="1:16" ht="30">
      <c r="A18" s="40"/>
      <c r="B18" s="7" t="s">
        <v>119</v>
      </c>
      <c r="C18" s="24" t="s">
        <v>120</v>
      </c>
      <c r="D18" s="6" t="s">
        <v>63</v>
      </c>
      <c r="E18" s="6" t="s">
        <v>41</v>
      </c>
      <c r="F18" s="6"/>
      <c r="G18" s="33">
        <v>1749.9</v>
      </c>
      <c r="H18" s="52">
        <v>1577.18</v>
      </c>
      <c r="I18" s="31">
        <v>45134</v>
      </c>
      <c r="J18" s="31">
        <v>45835</v>
      </c>
      <c r="K18" s="14" t="str">
        <f t="shared" ca="1" si="0"/>
        <v>EXPIRED</v>
      </c>
      <c r="L18" s="54"/>
      <c r="M18" s="55"/>
      <c r="N18" s="6"/>
      <c r="O18" s="25">
        <v>90345</v>
      </c>
      <c r="P18" s="56" t="s">
        <v>121</v>
      </c>
    </row>
    <row r="19" spans="1:16" ht="30">
      <c r="A19" s="40"/>
      <c r="B19" s="7" t="s">
        <v>119</v>
      </c>
      <c r="C19" s="24" t="s">
        <v>122</v>
      </c>
      <c r="D19" s="6" t="s">
        <v>29</v>
      </c>
      <c r="E19" s="6" t="s">
        <v>41</v>
      </c>
      <c r="F19" s="6"/>
      <c r="G19" s="25">
        <v>1779.87</v>
      </c>
      <c r="H19" s="52">
        <v>1577.18</v>
      </c>
      <c r="I19" s="31">
        <v>45134</v>
      </c>
      <c r="J19" s="31">
        <v>45835</v>
      </c>
      <c r="K19" s="14" t="str">
        <f t="shared" ca="1" si="0"/>
        <v>EXPIRED</v>
      </c>
      <c r="L19" s="54"/>
      <c r="M19" s="55"/>
      <c r="N19" s="6"/>
      <c r="O19" s="25">
        <v>98130</v>
      </c>
      <c r="P19" s="56" t="s">
        <v>121</v>
      </c>
    </row>
    <row r="20" spans="1:16">
      <c r="A20" s="40"/>
      <c r="B20" s="7" t="s">
        <v>44</v>
      </c>
      <c r="C20" s="6" t="s">
        <v>123</v>
      </c>
      <c r="D20" s="6" t="s">
        <v>124</v>
      </c>
      <c r="E20" s="6" t="s">
        <v>125</v>
      </c>
      <c r="F20" s="6"/>
      <c r="G20" s="10">
        <v>11293.74</v>
      </c>
      <c r="H20" s="10"/>
      <c r="I20" s="31">
        <v>45136</v>
      </c>
      <c r="J20" s="31">
        <v>45837</v>
      </c>
      <c r="K20" s="14" t="str">
        <f t="shared" ca="1" si="0"/>
        <v>EXPIRED</v>
      </c>
      <c r="L20" s="57">
        <v>45536</v>
      </c>
      <c r="M20" s="58">
        <v>45901</v>
      </c>
      <c r="N20" s="6"/>
      <c r="O20" s="25">
        <v>1693</v>
      </c>
      <c r="P20" s="56" t="s">
        <v>126</v>
      </c>
    </row>
    <row r="21" spans="1:16">
      <c r="A21" s="1" t="s">
        <v>32</v>
      </c>
      <c r="H21" s="11">
        <f>SUM(G8:G20)</f>
        <v>26100.909999999996</v>
      </c>
      <c r="I21" s="11">
        <f>SUM(H8:H20)</f>
        <v>40608.080000000002</v>
      </c>
    </row>
    <row r="22" spans="1:16">
      <c r="A22" s="1" t="s">
        <v>33</v>
      </c>
    </row>
    <row r="23" spans="1:16">
      <c r="A23" s="1" t="s">
        <v>34</v>
      </c>
    </row>
    <row r="24" spans="1:16">
      <c r="A24" s="1" t="s">
        <v>35</v>
      </c>
    </row>
    <row r="25" spans="1:16">
      <c r="A25" s="1" t="s">
        <v>36</v>
      </c>
    </row>
    <row r="26" spans="1:16">
      <c r="A26" s="1" t="s">
        <v>37</v>
      </c>
    </row>
    <row r="27" spans="1:16">
      <c r="A27" s="1" t="s">
        <v>38</v>
      </c>
    </row>
  </sheetData>
  <mergeCells count="16">
    <mergeCell ref="N6:N7"/>
    <mergeCell ref="O6:O7"/>
    <mergeCell ref="P6:P7"/>
    <mergeCell ref="G4:K5"/>
    <mergeCell ref="L6:M6"/>
    <mergeCell ref="K6:K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conditionalFormatting sqref="K8:K20">
    <cfRule type="containsText" dxfId="41" priority="1" operator="containsText" text="REGISTERED">
      <formula>NOT(ISERROR(SEARCH("REGISTERED",K8)))</formula>
    </cfRule>
    <cfRule type="containsText" dxfId="40" priority="2" operator="containsText" text=" DAYS BEFORE EXPIRY">
      <formula>NOT(ISERROR(SEARCH(" DAYS BEFORE EXPIRY",K8)))</formula>
    </cfRule>
    <cfRule type="containsText" dxfId="39" priority="3" operator="containsText" text="DAYS BEFORE 2 WEEK NOTICE">
      <formula>NOT(ISERROR(SEARCH("DAYS BEFORE 2 WEEK NOTICE",K8)))</formula>
    </cfRule>
    <cfRule type="containsText" dxfId="38" priority="4" operator="containsText" text="PLEASE INPUT LAST REG">
      <formula>NOT(ISERROR(SEARCH("PLEASE INPUT LAST REG",K8)))</formula>
    </cfRule>
    <cfRule type="cellIs" dxfId="37" priority="5" operator="equal">
      <formula>"EXPIRED"</formula>
    </cfRule>
    <cfRule type="cellIs" dxfId="36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/>
  </sheetPr>
  <dimension ref="A1:P24"/>
  <sheetViews>
    <sheetView workbookViewId="0">
      <selection activeCell="K12" sqref="K12"/>
    </sheetView>
  </sheetViews>
  <sheetFormatPr defaultColWidth="9" defaultRowHeight="15"/>
  <cols>
    <col min="1" max="1" width="22.28515625" style="1" customWidth="1"/>
    <col min="2" max="2" width="12.85546875" style="1" customWidth="1"/>
    <col min="3" max="3" width="12.28515625" style="1" customWidth="1"/>
    <col min="4" max="4" width="10.7109375" style="1" customWidth="1"/>
    <col min="5" max="5" width="13.28515625" style="1" customWidth="1"/>
    <col min="6" max="6" width="10.7109375" style="1" customWidth="1"/>
    <col min="7" max="7" width="11.42578125" style="1" customWidth="1"/>
    <col min="8" max="8" width="12.7109375" style="1" customWidth="1"/>
    <col min="9" max="9" width="10.5703125" style="1" customWidth="1"/>
    <col min="10" max="10" width="10.42578125" style="1" customWidth="1"/>
    <col min="11" max="11" width="21.7109375" style="1" customWidth="1"/>
    <col min="12" max="12" width="13.42578125" style="1" customWidth="1"/>
    <col min="13" max="13" width="11.140625" style="1" customWidth="1"/>
    <col min="14" max="14" width="18.7109375" style="1" customWidth="1"/>
    <col min="15" max="15" width="16.85546875" style="1" customWidth="1"/>
    <col min="16" max="16" width="12.28515625" style="1" customWidth="1"/>
    <col min="17" max="16384" width="9" style="1"/>
  </cols>
  <sheetData>
    <row r="1" spans="1:16">
      <c r="A1" s="17" t="s">
        <v>0</v>
      </c>
    </row>
    <row r="2" spans="1:16" ht="21" customHeight="1">
      <c r="A2" s="18">
        <f ca="1">TODAY()</f>
        <v>46085</v>
      </c>
      <c r="G2" s="98" t="s">
        <v>1</v>
      </c>
      <c r="H2" s="98"/>
      <c r="I2" s="98"/>
      <c r="J2" s="98"/>
      <c r="K2" s="98"/>
      <c r="L2" s="98"/>
    </row>
    <row r="3" spans="1:16" ht="21" customHeight="1">
      <c r="G3" s="105"/>
      <c r="H3" s="105"/>
      <c r="I3" s="105"/>
      <c r="J3" s="105"/>
      <c r="K3" s="105"/>
      <c r="L3" s="105"/>
    </row>
    <row r="4" spans="1:16" ht="30">
      <c r="A4" s="93" t="s">
        <v>2</v>
      </c>
      <c r="B4" s="101" t="s">
        <v>3</v>
      </c>
      <c r="C4" s="101" t="s">
        <v>4</v>
      </c>
      <c r="D4" s="101" t="s">
        <v>5</v>
      </c>
      <c r="E4" s="101" t="s">
        <v>6</v>
      </c>
      <c r="F4" s="101" t="s">
        <v>7</v>
      </c>
      <c r="G4" s="101" t="s">
        <v>8</v>
      </c>
      <c r="H4" s="102" t="s">
        <v>9</v>
      </c>
      <c r="I4" s="102" t="s">
        <v>10</v>
      </c>
      <c r="J4" s="102" t="s">
        <v>11</v>
      </c>
      <c r="K4" s="102" t="s">
        <v>12</v>
      </c>
      <c r="L4" s="44" t="s">
        <v>13</v>
      </c>
      <c r="M4" s="44"/>
      <c r="N4" s="39" t="s">
        <v>14</v>
      </c>
      <c r="O4" s="43" t="s">
        <v>15</v>
      </c>
      <c r="P4" s="104" t="s">
        <v>16</v>
      </c>
    </row>
    <row r="5" spans="1:16">
      <c r="A5" s="100"/>
      <c r="B5" s="101"/>
      <c r="C5" s="101"/>
      <c r="D5" s="101"/>
      <c r="E5" s="101"/>
      <c r="F5" s="101"/>
      <c r="G5" s="101"/>
      <c r="H5" s="103"/>
      <c r="I5" s="103"/>
      <c r="J5" s="103"/>
      <c r="K5" s="103"/>
      <c r="L5" s="39" t="s">
        <v>17</v>
      </c>
      <c r="M5" s="39" t="s">
        <v>18</v>
      </c>
      <c r="N5" s="39"/>
      <c r="O5" s="43"/>
      <c r="P5" s="101"/>
    </row>
    <row r="6" spans="1:16" ht="30">
      <c r="A6" s="6" t="s">
        <v>260</v>
      </c>
      <c r="B6" s="45" t="s">
        <v>19</v>
      </c>
      <c r="C6" s="6" t="s">
        <v>127</v>
      </c>
      <c r="D6" s="6" t="s">
        <v>128</v>
      </c>
      <c r="E6" s="6" t="s">
        <v>129</v>
      </c>
      <c r="F6" s="40"/>
      <c r="G6" s="25">
        <v>7824.29</v>
      </c>
      <c r="H6" s="25">
        <v>3015</v>
      </c>
      <c r="I6" s="47">
        <v>45534</v>
      </c>
      <c r="J6" s="47">
        <v>45868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REGISTERED</v>
      </c>
      <c r="L6" s="48">
        <v>45536</v>
      </c>
      <c r="M6" s="48">
        <v>45901</v>
      </c>
      <c r="N6" s="6"/>
      <c r="O6" s="8"/>
      <c r="P6" s="8"/>
    </row>
    <row r="7" spans="1:16">
      <c r="A7" s="6"/>
      <c r="B7" s="46" t="s">
        <v>130</v>
      </c>
      <c r="C7" s="9" t="s">
        <v>131</v>
      </c>
      <c r="D7" s="9" t="s">
        <v>29</v>
      </c>
      <c r="E7" s="9" t="s">
        <v>30</v>
      </c>
      <c r="F7" s="8"/>
      <c r="G7" s="10">
        <v>1829.85</v>
      </c>
      <c r="H7" s="10">
        <v>350</v>
      </c>
      <c r="I7" s="49">
        <v>45534</v>
      </c>
      <c r="J7" s="47">
        <v>45868</v>
      </c>
      <c r="K7" s="14" t="str">
        <f t="shared" ref="K7:K17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13">
        <v>45536</v>
      </c>
      <c r="M7" s="13">
        <v>45901</v>
      </c>
      <c r="N7" s="6" t="s">
        <v>132</v>
      </c>
      <c r="O7" s="8"/>
      <c r="P7" s="8"/>
    </row>
    <row r="8" spans="1:16">
      <c r="A8" s="6"/>
      <c r="B8" s="46" t="s">
        <v>115</v>
      </c>
      <c r="C8" s="9" t="s">
        <v>133</v>
      </c>
      <c r="D8" s="9" t="s">
        <v>128</v>
      </c>
      <c r="E8" s="9" t="s">
        <v>27</v>
      </c>
      <c r="F8" s="8"/>
      <c r="G8" s="10">
        <v>12485.57</v>
      </c>
      <c r="H8" s="10">
        <v>2530</v>
      </c>
      <c r="I8" s="49">
        <v>45534</v>
      </c>
      <c r="J8" s="47">
        <v>45868</v>
      </c>
      <c r="K8" s="14" t="str">
        <f t="shared" ca="1" si="0"/>
        <v>EXPIRED</v>
      </c>
      <c r="L8" s="13">
        <v>45536</v>
      </c>
      <c r="M8" s="13">
        <v>45901</v>
      </c>
      <c r="N8" s="6"/>
      <c r="O8" s="8"/>
      <c r="P8" s="8"/>
    </row>
    <row r="9" spans="1:16">
      <c r="A9" s="6"/>
      <c r="B9" s="46" t="s">
        <v>44</v>
      </c>
      <c r="C9" s="9" t="s">
        <v>134</v>
      </c>
      <c r="D9" s="9" t="s">
        <v>63</v>
      </c>
      <c r="E9" s="9" t="s">
        <v>30</v>
      </c>
      <c r="F9" s="8"/>
      <c r="G9" s="10">
        <v>1829.4</v>
      </c>
      <c r="H9" s="10">
        <v>350</v>
      </c>
      <c r="I9" s="49">
        <v>45534</v>
      </c>
      <c r="J9" s="47">
        <v>45868</v>
      </c>
      <c r="K9" s="14" t="str">
        <f t="shared" ca="1" si="0"/>
        <v>EXPIRED</v>
      </c>
      <c r="L9" s="13">
        <v>45536</v>
      </c>
      <c r="M9" s="13">
        <v>45901</v>
      </c>
      <c r="N9" s="6"/>
      <c r="O9" s="8"/>
      <c r="P9" s="8"/>
    </row>
    <row r="10" spans="1:16">
      <c r="A10" s="6"/>
      <c r="B10" s="46" t="s">
        <v>49</v>
      </c>
      <c r="C10" s="9" t="s">
        <v>135</v>
      </c>
      <c r="D10" s="9" t="s">
        <v>29</v>
      </c>
      <c r="E10" s="9" t="s">
        <v>30</v>
      </c>
      <c r="F10" s="9" t="s">
        <v>136</v>
      </c>
      <c r="G10" s="10">
        <v>1767.35</v>
      </c>
      <c r="H10" s="10">
        <v>610</v>
      </c>
      <c r="I10" s="49"/>
      <c r="J10" s="47"/>
      <c r="K10" s="14" t="str">
        <f t="shared" ca="1" si="0"/>
        <v>PLEASE INPUT LAST REG</v>
      </c>
      <c r="L10" s="8"/>
      <c r="M10" s="8"/>
      <c r="N10" s="6"/>
      <c r="O10" s="8"/>
      <c r="P10" s="8"/>
    </row>
    <row r="11" spans="1:16">
      <c r="A11" s="6"/>
      <c r="B11" s="46" t="s">
        <v>68</v>
      </c>
      <c r="C11" s="9" t="s">
        <v>137</v>
      </c>
      <c r="D11" s="9" t="s">
        <v>69</v>
      </c>
      <c r="E11" s="9" t="s">
        <v>138</v>
      </c>
      <c r="F11" s="8"/>
      <c r="G11" s="10">
        <v>16904.62</v>
      </c>
      <c r="H11" s="10"/>
      <c r="I11" s="49">
        <v>45534</v>
      </c>
      <c r="J11" s="47">
        <v>45868</v>
      </c>
      <c r="K11" s="14" t="str">
        <f t="shared" ca="1" si="0"/>
        <v>EXPIRED</v>
      </c>
      <c r="L11" s="13">
        <v>45536</v>
      </c>
      <c r="M11" s="13">
        <v>45901</v>
      </c>
      <c r="N11" s="6"/>
      <c r="O11" s="8"/>
      <c r="P11" s="8"/>
    </row>
    <row r="12" spans="1:16">
      <c r="A12" s="6"/>
      <c r="B12" s="46" t="s">
        <v>68</v>
      </c>
      <c r="C12" s="9" t="s">
        <v>139</v>
      </c>
      <c r="D12" s="9" t="s">
        <v>69</v>
      </c>
      <c r="E12" s="9" t="s">
        <v>138</v>
      </c>
      <c r="F12" s="8"/>
      <c r="G12" s="10">
        <v>16904.62</v>
      </c>
      <c r="H12" s="10">
        <v>7760</v>
      </c>
      <c r="I12" s="49">
        <v>45534</v>
      </c>
      <c r="J12" s="47">
        <v>45868</v>
      </c>
      <c r="K12" s="14" t="str">
        <f t="shared" ca="1" si="0"/>
        <v>EXPIRED</v>
      </c>
      <c r="L12" s="13">
        <v>45536</v>
      </c>
      <c r="M12" s="13">
        <v>45901</v>
      </c>
      <c r="N12" s="6"/>
      <c r="O12" s="8"/>
      <c r="P12" s="8"/>
    </row>
    <row r="13" spans="1:16">
      <c r="A13" s="6"/>
      <c r="B13" s="46" t="s">
        <v>68</v>
      </c>
      <c r="C13" s="9">
        <v>100808</v>
      </c>
      <c r="D13" s="9" t="s">
        <v>140</v>
      </c>
      <c r="E13" s="9" t="s">
        <v>141</v>
      </c>
      <c r="F13" s="8"/>
      <c r="G13" s="10">
        <v>8837.02</v>
      </c>
      <c r="H13" s="10">
        <v>6920</v>
      </c>
      <c r="I13" s="49">
        <v>45534</v>
      </c>
      <c r="J13" s="47">
        <v>45868</v>
      </c>
      <c r="K13" s="14" t="str">
        <f t="shared" ca="1" si="0"/>
        <v>EXPIRED</v>
      </c>
      <c r="L13" s="13">
        <v>45536</v>
      </c>
      <c r="M13" s="13">
        <v>45901</v>
      </c>
      <c r="N13" s="6"/>
      <c r="O13" s="8"/>
      <c r="P13" s="8"/>
    </row>
    <row r="14" spans="1:16">
      <c r="A14" s="6"/>
      <c r="B14" s="46" t="s">
        <v>68</v>
      </c>
      <c r="C14" s="9" t="s">
        <v>142</v>
      </c>
      <c r="D14" s="9" t="s">
        <v>57</v>
      </c>
      <c r="E14" s="9" t="s">
        <v>125</v>
      </c>
      <c r="F14" s="8"/>
      <c r="G14" s="10">
        <v>6147.82</v>
      </c>
      <c r="H14" s="10">
        <v>4240</v>
      </c>
      <c r="I14" s="49">
        <v>45534</v>
      </c>
      <c r="J14" s="47">
        <v>45868</v>
      </c>
      <c r="K14" s="14" t="str">
        <f t="shared" ca="1" si="0"/>
        <v>EXPIRED</v>
      </c>
      <c r="L14" s="13">
        <v>45536</v>
      </c>
      <c r="M14" s="13">
        <v>45901</v>
      </c>
      <c r="N14" s="6"/>
      <c r="O14" s="8"/>
      <c r="P14" s="8"/>
    </row>
    <row r="15" spans="1:16">
      <c r="A15" s="6"/>
      <c r="B15" s="46" t="s">
        <v>130</v>
      </c>
      <c r="C15" s="9" t="s">
        <v>143</v>
      </c>
      <c r="D15" s="9" t="s">
        <v>29</v>
      </c>
      <c r="E15" s="9" t="s">
        <v>30</v>
      </c>
      <c r="F15" s="8"/>
      <c r="G15" s="10">
        <v>2040.09</v>
      </c>
      <c r="H15" s="10">
        <v>250</v>
      </c>
      <c r="I15" s="49">
        <v>45534</v>
      </c>
      <c r="J15" s="47">
        <v>45868</v>
      </c>
      <c r="K15" s="14" t="str">
        <f t="shared" ca="1" si="0"/>
        <v>EXPIRED</v>
      </c>
      <c r="L15" s="13">
        <v>45536</v>
      </c>
      <c r="M15" s="13">
        <v>45901</v>
      </c>
      <c r="N15" s="6"/>
      <c r="O15" s="8"/>
      <c r="P15" s="8"/>
    </row>
    <row r="16" spans="1:16">
      <c r="A16" s="6"/>
      <c r="B16" s="46" t="s">
        <v>144</v>
      </c>
      <c r="C16" s="9" t="s">
        <v>145</v>
      </c>
      <c r="D16" s="9" t="s">
        <v>57</v>
      </c>
      <c r="E16" s="9" t="s">
        <v>146</v>
      </c>
      <c r="F16" s="8"/>
      <c r="G16" s="10"/>
      <c r="H16" s="10"/>
      <c r="I16" s="8"/>
      <c r="J16" s="8"/>
      <c r="K16" s="14" t="str">
        <f t="shared" ca="1" si="0"/>
        <v>PLEASE INPUT LAST REG</v>
      </c>
      <c r="L16" s="8"/>
      <c r="M16" s="8"/>
      <c r="N16" s="6"/>
      <c r="O16" s="8"/>
      <c r="P16" s="8"/>
    </row>
    <row r="17" spans="1:16">
      <c r="A17" s="6"/>
      <c r="B17" s="46" t="s">
        <v>44</v>
      </c>
      <c r="C17" s="9" t="s">
        <v>147</v>
      </c>
      <c r="D17" s="9" t="s">
        <v>124</v>
      </c>
      <c r="E17" s="9" t="s">
        <v>125</v>
      </c>
      <c r="F17" s="8"/>
      <c r="G17" s="10">
        <v>11293.74</v>
      </c>
      <c r="H17" s="10"/>
      <c r="I17" s="8"/>
      <c r="J17" s="8"/>
      <c r="K17" s="14" t="str">
        <f t="shared" ca="1" si="0"/>
        <v>PLEASE INPUT LAST REG</v>
      </c>
      <c r="L17" s="13">
        <v>45536</v>
      </c>
      <c r="M17" s="13">
        <v>45901</v>
      </c>
      <c r="N17" s="6"/>
      <c r="O17" s="8"/>
      <c r="P17" s="8"/>
    </row>
    <row r="18" spans="1:16">
      <c r="A18" s="1" t="s">
        <v>32</v>
      </c>
      <c r="G18" s="11">
        <f>SUM(G6:G17)</f>
        <v>87864.37000000001</v>
      </c>
      <c r="H18" s="11">
        <f>SUM(H6:H17)</f>
        <v>26025</v>
      </c>
    </row>
    <row r="19" spans="1:16">
      <c r="A19" s="1" t="s">
        <v>33</v>
      </c>
    </row>
    <row r="20" spans="1:16">
      <c r="A20" s="1" t="s">
        <v>34</v>
      </c>
    </row>
    <row r="21" spans="1:16">
      <c r="A21" s="1" t="s">
        <v>35</v>
      </c>
    </row>
    <row r="22" spans="1:16">
      <c r="A22" s="1" t="s">
        <v>36</v>
      </c>
    </row>
    <row r="23" spans="1:16">
      <c r="A23" s="1" t="s">
        <v>37</v>
      </c>
    </row>
    <row r="24" spans="1:16">
      <c r="A24" s="1" t="s">
        <v>38</v>
      </c>
    </row>
  </sheetData>
  <mergeCells count="13">
    <mergeCell ref="K4:K5"/>
    <mergeCell ref="P4:P5"/>
    <mergeCell ref="G2:L3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conditionalFormatting sqref="K6:K17">
    <cfRule type="containsText" dxfId="35" priority="1" operator="containsText" text="REGISTERED">
      <formula>NOT(ISERROR(SEARCH("REGISTERED",K6)))</formula>
    </cfRule>
    <cfRule type="containsText" dxfId="34" priority="2" operator="containsText" text=" DAYS BEFORE EXPIRY">
      <formula>NOT(ISERROR(SEARCH(" DAYS BEFORE EXPIRY",K6)))</formula>
    </cfRule>
    <cfRule type="containsText" dxfId="33" priority="3" operator="containsText" text="DAYS BEFORE 2 WEEK NOTICE">
      <formula>NOT(ISERROR(SEARCH("DAYS BEFORE 2 WEEK NOTICE",K6)))</formula>
    </cfRule>
    <cfRule type="containsText" dxfId="32" priority="4" operator="containsText" text="PLEASE INPUT LAST REG">
      <formula>NOT(ISERROR(SEARCH("PLEASE INPUT LAST REG",K6)))</formula>
    </cfRule>
    <cfRule type="cellIs" dxfId="31" priority="5" operator="equal">
      <formula>"EXPIRED"</formula>
    </cfRule>
    <cfRule type="cellIs" dxfId="30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5"/>
  </sheetPr>
  <dimension ref="A1:R24"/>
  <sheetViews>
    <sheetView workbookViewId="0">
      <selection activeCell="J17" sqref="J17"/>
    </sheetView>
  </sheetViews>
  <sheetFormatPr defaultColWidth="9" defaultRowHeight="15"/>
  <cols>
    <col min="1" max="1" width="12.28515625" style="1" customWidth="1"/>
    <col min="2" max="2" width="14.28515625" style="38" customWidth="1"/>
    <col min="3" max="3" width="13.28515625" style="2" customWidth="1"/>
    <col min="4" max="4" width="10.7109375" style="2" customWidth="1"/>
    <col min="5" max="5" width="13.28515625" style="1" customWidth="1"/>
    <col min="6" max="6" width="10.7109375" style="1" customWidth="1"/>
    <col min="7" max="7" width="12" style="1" customWidth="1"/>
    <col min="8" max="8" width="11.7109375" style="1" customWidth="1"/>
    <col min="9" max="9" width="14" style="1" customWidth="1"/>
    <col min="10" max="10" width="16.42578125" style="1" customWidth="1"/>
    <col min="11" max="11" width="21.28515625" style="1" customWidth="1"/>
    <col min="12" max="12" width="12.140625" style="1" customWidth="1"/>
    <col min="13" max="13" width="12.140625" style="2" customWidth="1"/>
    <col min="14" max="14" width="9" style="1"/>
    <col min="15" max="15" width="12.140625" style="1" customWidth="1"/>
    <col min="16" max="16" width="12" style="1" customWidth="1"/>
    <col min="17" max="16384" width="9" style="1"/>
  </cols>
  <sheetData>
    <row r="1" spans="1:16">
      <c r="A1" s="17" t="s">
        <v>0</v>
      </c>
    </row>
    <row r="2" spans="1:16" ht="21" customHeight="1">
      <c r="A2" s="18">
        <f ca="1">TODAY()</f>
        <v>46085</v>
      </c>
    </row>
    <row r="3" spans="1:16" ht="14.45" customHeight="1">
      <c r="G3" s="106" t="s">
        <v>1</v>
      </c>
      <c r="H3" s="106"/>
      <c r="I3" s="106"/>
      <c r="J3" s="106"/>
      <c r="K3" s="106"/>
    </row>
    <row r="4" spans="1:16" ht="14.45" customHeight="1">
      <c r="G4" s="107"/>
      <c r="H4" s="107"/>
      <c r="I4" s="107"/>
      <c r="J4" s="107"/>
      <c r="K4" s="107"/>
    </row>
    <row r="5" spans="1:16" ht="45">
      <c r="A5" s="93" t="s">
        <v>2</v>
      </c>
      <c r="B5" s="101" t="s">
        <v>3</v>
      </c>
      <c r="C5" s="101" t="s">
        <v>4</v>
      </c>
      <c r="D5" s="101" t="s">
        <v>5</v>
      </c>
      <c r="E5" s="101" t="s">
        <v>6</v>
      </c>
      <c r="F5" s="101" t="s">
        <v>7</v>
      </c>
      <c r="G5" s="101" t="s">
        <v>8</v>
      </c>
      <c r="H5" s="101" t="s">
        <v>9</v>
      </c>
      <c r="I5" s="101" t="s">
        <v>10</v>
      </c>
      <c r="J5" s="101" t="s">
        <v>11</v>
      </c>
      <c r="K5" s="104" t="s">
        <v>148</v>
      </c>
      <c r="L5" s="108" t="s">
        <v>13</v>
      </c>
      <c r="M5" s="108"/>
      <c r="N5" s="5" t="s">
        <v>14</v>
      </c>
      <c r="O5" s="12" t="s">
        <v>15</v>
      </c>
      <c r="P5" s="93" t="s">
        <v>16</v>
      </c>
    </row>
    <row r="6" spans="1:16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4"/>
      <c r="L6" s="39" t="s">
        <v>17</v>
      </c>
      <c r="M6" s="39" t="s">
        <v>18</v>
      </c>
      <c r="N6" s="5"/>
      <c r="O6" s="12"/>
      <c r="P6" s="94"/>
    </row>
    <row r="7" spans="1:16">
      <c r="A7" s="6"/>
      <c r="B7" s="7" t="s">
        <v>99</v>
      </c>
      <c r="C7" s="6" t="s">
        <v>149</v>
      </c>
      <c r="D7" s="6" t="s">
        <v>21</v>
      </c>
      <c r="E7" s="40" t="s">
        <v>150</v>
      </c>
      <c r="F7" s="40"/>
      <c r="G7" s="10">
        <v>6492.79</v>
      </c>
      <c r="H7" s="10">
        <v>2410</v>
      </c>
      <c r="I7" s="31">
        <v>45562</v>
      </c>
      <c r="J7" s="31">
        <v>45896</v>
      </c>
      <c r="K7" s="14" t="str">
        <f ca="1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0">
        <v>45566</v>
      </c>
      <c r="M7" s="30">
        <v>45931</v>
      </c>
      <c r="N7" s="8"/>
      <c r="O7" s="8"/>
      <c r="P7" s="8"/>
    </row>
    <row r="8" spans="1:16">
      <c r="A8" s="6"/>
      <c r="B8" s="7" t="s">
        <v>115</v>
      </c>
      <c r="C8" s="6" t="s">
        <v>151</v>
      </c>
      <c r="D8" s="6" t="s">
        <v>57</v>
      </c>
      <c r="E8" s="40" t="s">
        <v>152</v>
      </c>
      <c r="F8" s="40" t="s">
        <v>136</v>
      </c>
      <c r="G8" s="10">
        <v>6940.99</v>
      </c>
      <c r="H8" s="10">
        <v>4436</v>
      </c>
      <c r="I8" s="31">
        <v>45611</v>
      </c>
      <c r="J8" s="31">
        <v>45945</v>
      </c>
      <c r="K8" s="14" t="str">
        <f t="shared" ref="K8:K13" ca="1" si="0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30">
        <v>45566</v>
      </c>
      <c r="M8" s="30">
        <v>45931</v>
      </c>
      <c r="N8" s="8"/>
      <c r="O8" s="8"/>
      <c r="P8" s="8"/>
    </row>
    <row r="9" spans="1:16">
      <c r="A9" s="6"/>
      <c r="B9" s="7" t="s">
        <v>44</v>
      </c>
      <c r="C9" s="6" t="s">
        <v>153</v>
      </c>
      <c r="D9" s="6" t="s">
        <v>63</v>
      </c>
      <c r="E9" s="40" t="s">
        <v>30</v>
      </c>
      <c r="F9" s="40"/>
      <c r="G9" s="10">
        <v>1767.35</v>
      </c>
      <c r="H9" s="10">
        <v>350</v>
      </c>
      <c r="I9" s="31">
        <v>45562</v>
      </c>
      <c r="J9" s="31">
        <v>45896</v>
      </c>
      <c r="K9" s="14" t="str">
        <f t="shared" ca="1" si="0"/>
        <v>EXPIRED</v>
      </c>
      <c r="L9" s="30">
        <v>45566</v>
      </c>
      <c r="M9" s="30">
        <v>45931</v>
      </c>
      <c r="N9" s="8"/>
      <c r="O9" s="8"/>
      <c r="P9" s="8"/>
    </row>
    <row r="10" spans="1:16">
      <c r="A10" s="6"/>
      <c r="B10" s="7" t="s">
        <v>87</v>
      </c>
      <c r="C10" s="6" t="s">
        <v>154</v>
      </c>
      <c r="D10" s="6" t="s">
        <v>29</v>
      </c>
      <c r="E10" s="40" t="s">
        <v>30</v>
      </c>
      <c r="F10" s="40"/>
      <c r="G10" s="10">
        <v>1767.35</v>
      </c>
      <c r="H10" s="10">
        <v>350</v>
      </c>
      <c r="I10" s="31">
        <v>45562</v>
      </c>
      <c r="J10" s="31">
        <v>45896</v>
      </c>
      <c r="K10" s="14" t="str">
        <f ca="1">IF(A10="YES","REGISTERED",IF(J10="","PLEASE INPUT LAST REG",IF(J10-TODAY()&lt;0,"EXPIRED",IF(J10-TODAY()&lt;=14,J10-TODAY()&amp;" DAYS BEFORE EXPIRY",IF(AND(J10-TODAY()&gt;14,J10-TODAY()&lt;=29),J10-TODAY()&amp;" DAYS BEFORE 2 WEEK NOTICE",IF(J10-TODAY()&gt;=30,"Sufficient Time"))))))</f>
        <v>EXPIRED</v>
      </c>
      <c r="L10" s="30">
        <v>45566</v>
      </c>
      <c r="M10" s="30">
        <v>45931</v>
      </c>
      <c r="N10" s="8"/>
      <c r="O10" s="8"/>
      <c r="P10" s="8"/>
    </row>
    <row r="11" spans="1:16">
      <c r="A11" s="6"/>
      <c r="B11" s="7" t="s">
        <v>155</v>
      </c>
      <c r="C11" s="6" t="s">
        <v>156</v>
      </c>
      <c r="D11" s="6" t="s">
        <v>128</v>
      </c>
      <c r="E11" s="40" t="s">
        <v>129</v>
      </c>
      <c r="F11" s="40"/>
      <c r="G11" s="10">
        <v>6752.64</v>
      </c>
      <c r="H11" s="10">
        <v>3015</v>
      </c>
      <c r="I11" s="31">
        <v>45562</v>
      </c>
      <c r="J11" s="31">
        <v>45896</v>
      </c>
      <c r="K11" s="14" t="str">
        <f t="shared" ca="1" si="0"/>
        <v>EXPIRED</v>
      </c>
      <c r="L11" s="30">
        <v>45566</v>
      </c>
      <c r="M11" s="30">
        <v>45931</v>
      </c>
      <c r="N11" s="8"/>
      <c r="O11" s="8"/>
      <c r="P11" s="8"/>
    </row>
    <row r="12" spans="1:16">
      <c r="A12" s="6"/>
      <c r="B12" s="7" t="s">
        <v>49</v>
      </c>
      <c r="C12" s="6" t="s">
        <v>157</v>
      </c>
      <c r="D12" s="6" t="s">
        <v>29</v>
      </c>
      <c r="E12" s="40" t="s">
        <v>30</v>
      </c>
      <c r="F12" s="40"/>
      <c r="G12" s="10">
        <v>1988.65</v>
      </c>
      <c r="H12" s="10">
        <v>250</v>
      </c>
      <c r="I12" s="31">
        <v>45562</v>
      </c>
      <c r="J12" s="31">
        <v>45896</v>
      </c>
      <c r="K12" s="14" t="str">
        <f t="shared" ca="1" si="0"/>
        <v>EXPIRED</v>
      </c>
      <c r="L12" s="30">
        <v>45566</v>
      </c>
      <c r="M12" s="30">
        <v>45931</v>
      </c>
      <c r="N12" s="8"/>
      <c r="O12" s="8"/>
      <c r="P12" s="8"/>
    </row>
    <row r="13" spans="1:16">
      <c r="A13" s="6"/>
      <c r="B13" s="7" t="s">
        <v>76</v>
      </c>
      <c r="C13" s="6" t="s">
        <v>158</v>
      </c>
      <c r="D13" s="6" t="s">
        <v>29</v>
      </c>
      <c r="E13" s="40" t="s">
        <v>30</v>
      </c>
      <c r="F13" s="40"/>
      <c r="G13" s="10">
        <v>1988.65</v>
      </c>
      <c r="H13" s="10">
        <v>250</v>
      </c>
      <c r="I13" s="31">
        <v>45562</v>
      </c>
      <c r="J13" s="31">
        <v>45896</v>
      </c>
      <c r="K13" s="14" t="str">
        <f t="shared" ca="1" si="0"/>
        <v>EXPIRED</v>
      </c>
      <c r="L13" s="30">
        <v>45566</v>
      </c>
      <c r="M13" s="30">
        <v>45931</v>
      </c>
      <c r="N13" s="8"/>
      <c r="O13" s="8"/>
      <c r="P13" s="8"/>
    </row>
    <row r="14" spans="1:16">
      <c r="G14" s="11">
        <f>SUM(G7:G13)</f>
        <v>27698.420000000002</v>
      </c>
      <c r="H14" s="11">
        <f>SUM(H7:H13)</f>
        <v>11061</v>
      </c>
    </row>
    <row r="15" spans="1:16">
      <c r="A15" s="1" t="s">
        <v>32</v>
      </c>
      <c r="C15" s="1"/>
      <c r="D15" s="1"/>
    </row>
    <row r="16" spans="1:16">
      <c r="A16" s="1" t="s">
        <v>33</v>
      </c>
      <c r="C16" s="1"/>
      <c r="D16" s="1"/>
    </row>
    <row r="17" spans="1:18">
      <c r="A17" s="1" t="s">
        <v>34</v>
      </c>
      <c r="C17" s="1"/>
      <c r="D17" s="1"/>
    </row>
    <row r="18" spans="1:18">
      <c r="A18" s="1" t="s">
        <v>35</v>
      </c>
      <c r="C18" s="1"/>
      <c r="D18" s="1"/>
    </row>
    <row r="19" spans="1:18">
      <c r="A19" s="1" t="s">
        <v>36</v>
      </c>
      <c r="C19" s="1"/>
      <c r="D19" s="1"/>
    </row>
    <row r="20" spans="1:18">
      <c r="A20" s="1" t="s">
        <v>37</v>
      </c>
      <c r="C20" s="1"/>
      <c r="D20" s="1"/>
      <c r="H20" s="41"/>
    </row>
    <row r="21" spans="1:18">
      <c r="A21" s="1" t="s">
        <v>38</v>
      </c>
      <c r="C21" s="1"/>
      <c r="D21" s="1"/>
      <c r="H21" s="42"/>
    </row>
    <row r="24" spans="1:18">
      <c r="B24" s="1"/>
      <c r="C24" s="1"/>
      <c r="D24" s="1"/>
      <c r="R24" s="8"/>
    </row>
  </sheetData>
  <mergeCells count="14">
    <mergeCell ref="P5:P6"/>
    <mergeCell ref="G3:K4"/>
    <mergeCell ref="L5:M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conditionalFormatting sqref="K7:K13">
    <cfRule type="containsText" dxfId="29" priority="1" operator="containsText" text="REGISTERED">
      <formula>NOT(ISERROR(SEARCH("REGISTERED",K7)))</formula>
    </cfRule>
    <cfRule type="containsText" dxfId="28" priority="2" operator="containsText" text=" DAYS BEFORE EXPIRY">
      <formula>NOT(ISERROR(SEARCH(" DAYS BEFORE EXPIRY",K7)))</formula>
    </cfRule>
    <cfRule type="containsText" dxfId="27" priority="3" operator="containsText" text="DAYS BEFORE 2 WEEK NOTICE">
      <formula>NOT(ISERROR(SEARCH("DAYS BEFORE 2 WEEK NOTICE",K7)))</formula>
    </cfRule>
    <cfRule type="containsText" dxfId="26" priority="4" operator="containsText" text="PLEASE INPUT LAST REG">
      <formula>NOT(ISERROR(SEARCH("PLEASE INPUT LAST REG",K7)))</formula>
    </cfRule>
    <cfRule type="cellIs" dxfId="25" priority="5" operator="equal">
      <formula>"EXPIRED"</formula>
    </cfRule>
    <cfRule type="cellIs" dxfId="24" priority="6" operator="equal">
      <formula>"SUFFICIENT TIME"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5"/>
  </sheetPr>
  <dimension ref="A1:P47"/>
  <sheetViews>
    <sheetView zoomScale="85" zoomScaleNormal="85" workbookViewId="0">
      <selection activeCell="K18" sqref="K18"/>
    </sheetView>
  </sheetViews>
  <sheetFormatPr defaultColWidth="9" defaultRowHeight="15"/>
  <cols>
    <col min="1" max="2" width="13.7109375" style="1" customWidth="1"/>
    <col min="3" max="3" width="17.5703125" style="1" customWidth="1"/>
    <col min="4" max="4" width="12.7109375" style="1" customWidth="1"/>
    <col min="5" max="5" width="14" style="1" customWidth="1"/>
    <col min="6" max="6" width="10.85546875" style="1" customWidth="1"/>
    <col min="7" max="7" width="14.28515625" style="1" customWidth="1"/>
    <col min="8" max="8" width="12.140625" style="1" customWidth="1"/>
    <col min="9" max="9" width="11.7109375" style="1" customWidth="1"/>
    <col min="10" max="10" width="20.28515625" style="1" customWidth="1"/>
    <col min="11" max="11" width="22.42578125" style="1" customWidth="1"/>
    <col min="12" max="12" width="11.28515625" style="1" customWidth="1"/>
    <col min="13" max="13" width="11.140625" style="1" customWidth="1"/>
    <col min="14" max="14" width="9" style="1"/>
    <col min="15" max="15" width="15.5703125" style="1" customWidth="1"/>
    <col min="16" max="16" width="12.28515625" style="1" customWidth="1"/>
    <col min="17" max="18" width="10.7109375" style="1" customWidth="1"/>
    <col min="19" max="16384" width="9" style="1"/>
  </cols>
  <sheetData>
    <row r="1" spans="1:16" ht="22.15" customHeight="1">
      <c r="A1" s="32" t="s">
        <v>0</v>
      </c>
    </row>
    <row r="2" spans="1:16" ht="14.45" customHeight="1">
      <c r="A2" s="18">
        <f ca="1">TODAY()</f>
        <v>46085</v>
      </c>
      <c r="F2" s="98" t="s">
        <v>1</v>
      </c>
      <c r="G2" s="98"/>
      <c r="H2" s="98"/>
      <c r="I2" s="98"/>
      <c r="J2" s="98"/>
      <c r="K2" s="98"/>
    </row>
    <row r="3" spans="1:16" ht="14.45" customHeight="1">
      <c r="F3" s="98"/>
      <c r="G3" s="98"/>
      <c r="H3" s="98"/>
      <c r="I3" s="98"/>
      <c r="J3" s="98"/>
      <c r="K3" s="98"/>
    </row>
    <row r="4" spans="1:16" ht="30">
      <c r="A4" s="93" t="s">
        <v>2</v>
      </c>
      <c r="B4" s="94" t="s">
        <v>3</v>
      </c>
      <c r="C4" s="94" t="s">
        <v>4</v>
      </c>
      <c r="D4" s="94" t="s">
        <v>5</v>
      </c>
      <c r="E4" s="94" t="s">
        <v>6</v>
      </c>
      <c r="F4" s="94" t="s">
        <v>7</v>
      </c>
      <c r="G4" s="94" t="s">
        <v>8</v>
      </c>
      <c r="H4" s="94" t="s">
        <v>9</v>
      </c>
      <c r="I4" s="94" t="s">
        <v>10</v>
      </c>
      <c r="J4" s="94" t="s">
        <v>11</v>
      </c>
      <c r="K4" s="94" t="s">
        <v>12</v>
      </c>
      <c r="L4" s="109" t="s">
        <v>13</v>
      </c>
      <c r="M4" s="109"/>
      <c r="N4" s="5" t="s">
        <v>14</v>
      </c>
      <c r="O4" s="12" t="s">
        <v>15</v>
      </c>
      <c r="P4" s="93" t="s">
        <v>16</v>
      </c>
    </row>
    <row r="5" spans="1:16">
      <c r="A5" s="100"/>
      <c r="B5" s="94"/>
      <c r="C5" s="94"/>
      <c r="D5" s="94"/>
      <c r="E5" s="94"/>
      <c r="F5" s="94"/>
      <c r="G5" s="94"/>
      <c r="H5" s="94"/>
      <c r="I5" s="94"/>
      <c r="J5" s="94"/>
      <c r="K5" s="110"/>
      <c r="L5" s="5" t="s">
        <v>17</v>
      </c>
      <c r="M5" s="5" t="s">
        <v>18</v>
      </c>
      <c r="N5" s="5"/>
      <c r="O5" s="12"/>
      <c r="P5" s="94"/>
    </row>
    <row r="6" spans="1:16">
      <c r="A6" s="6"/>
      <c r="B6" s="21" t="s">
        <v>115</v>
      </c>
      <c r="C6" s="6" t="s">
        <v>159</v>
      </c>
      <c r="D6" s="6" t="s">
        <v>128</v>
      </c>
      <c r="E6" s="6" t="s">
        <v>160</v>
      </c>
      <c r="F6" s="33" t="s">
        <v>80</v>
      </c>
      <c r="G6" s="10">
        <v>8379.76</v>
      </c>
      <c r="H6" s="10">
        <v>2410</v>
      </c>
      <c r="I6" s="31">
        <v>45602</v>
      </c>
      <c r="J6" s="31">
        <v>45936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31">
        <v>45597</v>
      </c>
      <c r="M6" s="31">
        <v>45931</v>
      </c>
      <c r="N6" s="6"/>
      <c r="O6" s="6"/>
      <c r="P6" s="6"/>
    </row>
    <row r="7" spans="1:16">
      <c r="A7" s="6"/>
      <c r="B7" s="21" t="s">
        <v>155</v>
      </c>
      <c r="C7" s="6" t="s">
        <v>161</v>
      </c>
      <c r="D7" s="6" t="s">
        <v>63</v>
      </c>
      <c r="E7" s="6" t="s">
        <v>41</v>
      </c>
      <c r="F7" s="33" t="s">
        <v>80</v>
      </c>
      <c r="G7" s="10">
        <v>1860.85</v>
      </c>
      <c r="H7" s="10">
        <v>250</v>
      </c>
      <c r="I7" s="31">
        <v>45602</v>
      </c>
      <c r="J7" s="31">
        <v>45936</v>
      </c>
      <c r="K7" s="14" t="str">
        <f t="shared" ref="K7:K40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1">
        <v>45566</v>
      </c>
      <c r="M7" s="31">
        <v>45931</v>
      </c>
      <c r="N7" s="6"/>
      <c r="O7" s="6"/>
      <c r="P7" s="6"/>
    </row>
    <row r="8" spans="1:16">
      <c r="A8" s="6"/>
      <c r="B8" s="21" t="s">
        <v>51</v>
      </c>
      <c r="C8" s="6" t="s">
        <v>162</v>
      </c>
      <c r="D8" s="6" t="s">
        <v>128</v>
      </c>
      <c r="E8" s="6" t="s">
        <v>41</v>
      </c>
      <c r="F8" s="33" t="s">
        <v>80</v>
      </c>
      <c r="G8" s="33" t="s">
        <v>80</v>
      </c>
      <c r="H8" s="33" t="s">
        <v>80</v>
      </c>
      <c r="I8" s="33" t="s">
        <v>80</v>
      </c>
      <c r="J8" s="6"/>
      <c r="K8" s="14" t="str">
        <f t="shared" ca="1" si="0"/>
        <v>PLEASE INPUT LAST REG</v>
      </c>
      <c r="L8" s="6"/>
      <c r="M8" s="6"/>
      <c r="N8" s="6"/>
      <c r="O8" s="6"/>
      <c r="P8" s="6"/>
    </row>
    <row r="9" spans="1:16">
      <c r="A9" s="6"/>
      <c r="B9" s="21" t="s">
        <v>155</v>
      </c>
      <c r="C9" s="6" t="s">
        <v>163</v>
      </c>
      <c r="D9" s="6" t="s">
        <v>63</v>
      </c>
      <c r="E9" s="6" t="s">
        <v>41</v>
      </c>
      <c r="F9" s="33" t="s">
        <v>80</v>
      </c>
      <c r="G9" s="10">
        <v>1860.85</v>
      </c>
      <c r="H9" s="10">
        <v>250</v>
      </c>
      <c r="I9" s="31">
        <v>45602</v>
      </c>
      <c r="J9" s="31">
        <v>45936</v>
      </c>
      <c r="K9" s="14" t="str">
        <f t="shared" ca="1" si="0"/>
        <v>EXPIRED</v>
      </c>
      <c r="L9" s="31">
        <v>45566</v>
      </c>
      <c r="M9" s="31">
        <v>45931</v>
      </c>
      <c r="N9" s="6"/>
      <c r="O9" s="6"/>
      <c r="P9" s="6"/>
    </row>
    <row r="10" spans="1:16">
      <c r="A10" s="6"/>
      <c r="B10" s="21" t="s">
        <v>51</v>
      </c>
      <c r="C10" s="6" t="s">
        <v>164</v>
      </c>
      <c r="D10" s="6" t="s">
        <v>63</v>
      </c>
      <c r="E10" s="6" t="s">
        <v>41</v>
      </c>
      <c r="F10" s="33" t="s">
        <v>80</v>
      </c>
      <c r="G10" s="10">
        <v>1860.85</v>
      </c>
      <c r="H10" s="10">
        <v>250</v>
      </c>
      <c r="I10" s="31">
        <v>45602</v>
      </c>
      <c r="J10" s="31">
        <v>45936</v>
      </c>
      <c r="K10" s="14" t="str">
        <f t="shared" ca="1" si="0"/>
        <v>EXPIRED</v>
      </c>
      <c r="L10" s="31">
        <v>45566</v>
      </c>
      <c r="M10" s="31">
        <v>45931</v>
      </c>
      <c r="N10" s="6"/>
      <c r="O10" s="6"/>
      <c r="P10" s="6"/>
    </row>
    <row r="11" spans="1:16">
      <c r="A11" s="6"/>
      <c r="B11" s="21" t="s">
        <v>51</v>
      </c>
      <c r="C11" s="6" t="s">
        <v>165</v>
      </c>
      <c r="D11" s="6" t="s">
        <v>63</v>
      </c>
      <c r="E11" s="6" t="s">
        <v>41</v>
      </c>
      <c r="F11" s="33" t="s">
        <v>80</v>
      </c>
      <c r="G11" s="10">
        <v>1860.85</v>
      </c>
      <c r="H11" s="10">
        <v>250</v>
      </c>
      <c r="I11" s="31">
        <v>45602</v>
      </c>
      <c r="J11" s="31">
        <v>45936</v>
      </c>
      <c r="K11" s="14" t="str">
        <f t="shared" ca="1" si="0"/>
        <v>EXPIRED</v>
      </c>
      <c r="L11" s="31">
        <v>45566</v>
      </c>
      <c r="M11" s="31">
        <v>45931</v>
      </c>
      <c r="N11" s="6"/>
      <c r="O11" s="6"/>
      <c r="P11" s="6"/>
    </row>
    <row r="12" spans="1:16">
      <c r="A12" s="6"/>
      <c r="B12" s="21" t="s">
        <v>76</v>
      </c>
      <c r="C12" s="6" t="s">
        <v>166</v>
      </c>
      <c r="D12" s="6" t="s">
        <v>57</v>
      </c>
      <c r="E12" s="6" t="s">
        <v>167</v>
      </c>
      <c r="F12" s="33" t="s">
        <v>80</v>
      </c>
      <c r="G12" s="10">
        <v>8931.19</v>
      </c>
      <c r="H12" s="10">
        <v>3705</v>
      </c>
      <c r="I12" s="31">
        <v>45602</v>
      </c>
      <c r="J12" s="31">
        <v>45936</v>
      </c>
      <c r="K12" s="14" t="str">
        <f t="shared" ca="1" si="0"/>
        <v>EXPIRED</v>
      </c>
      <c r="L12" s="31">
        <v>45566</v>
      </c>
      <c r="M12" s="31">
        <v>45931</v>
      </c>
      <c r="N12" s="6"/>
      <c r="O12" s="6"/>
      <c r="P12" s="6"/>
    </row>
    <row r="13" spans="1:16">
      <c r="A13" s="6"/>
      <c r="B13" s="21" t="s">
        <v>76</v>
      </c>
      <c r="C13" s="6" t="s">
        <v>168</v>
      </c>
      <c r="D13" s="6" t="s">
        <v>128</v>
      </c>
      <c r="E13" s="6" t="s">
        <v>27</v>
      </c>
      <c r="F13" s="33" t="s">
        <v>80</v>
      </c>
      <c r="G13" s="10">
        <v>11589.17</v>
      </c>
      <c r="H13" s="10">
        <v>2530</v>
      </c>
      <c r="I13" s="31">
        <v>45602</v>
      </c>
      <c r="J13" s="31">
        <v>45936</v>
      </c>
      <c r="K13" s="14" t="str">
        <f t="shared" ca="1" si="0"/>
        <v>EXPIRED</v>
      </c>
      <c r="L13" s="31">
        <v>45566</v>
      </c>
      <c r="M13" s="31">
        <v>45931</v>
      </c>
      <c r="N13" s="6"/>
      <c r="O13" s="6"/>
      <c r="P13" s="6"/>
    </row>
    <row r="14" spans="1:16">
      <c r="A14" s="6"/>
      <c r="B14" s="21" t="s">
        <v>169</v>
      </c>
      <c r="C14" s="6" t="s">
        <v>170</v>
      </c>
      <c r="D14" s="6" t="s">
        <v>21</v>
      </c>
      <c r="E14" s="6" t="s">
        <v>22</v>
      </c>
      <c r="F14" s="33" t="s">
        <v>80</v>
      </c>
      <c r="G14" s="10">
        <v>14309.59</v>
      </c>
      <c r="H14" s="10">
        <v>2130</v>
      </c>
      <c r="I14" s="31">
        <v>45602</v>
      </c>
      <c r="J14" s="31">
        <v>45936</v>
      </c>
      <c r="K14" s="14" t="str">
        <f t="shared" ca="1" si="0"/>
        <v>EXPIRED</v>
      </c>
      <c r="L14" s="31">
        <v>45566</v>
      </c>
      <c r="M14" s="31">
        <v>45931</v>
      </c>
      <c r="N14" s="6"/>
      <c r="O14" s="6"/>
      <c r="P14" s="6"/>
    </row>
    <row r="15" spans="1:16">
      <c r="A15" s="6"/>
      <c r="B15" s="21" t="s">
        <v>169</v>
      </c>
      <c r="C15" s="6" t="s">
        <v>171</v>
      </c>
      <c r="D15" s="6" t="s">
        <v>29</v>
      </c>
      <c r="E15" s="6" t="s">
        <v>41</v>
      </c>
      <c r="F15" s="6" t="s">
        <v>136</v>
      </c>
      <c r="G15" s="33">
        <v>1705.35</v>
      </c>
      <c r="H15" s="33" t="s">
        <v>80</v>
      </c>
      <c r="I15" s="33" t="s">
        <v>80</v>
      </c>
      <c r="J15" s="6"/>
      <c r="K15" s="14" t="str">
        <f t="shared" ca="1" si="0"/>
        <v>PLEASE INPUT LAST REG</v>
      </c>
      <c r="L15" s="31">
        <v>45566</v>
      </c>
      <c r="M15" s="31">
        <v>45931</v>
      </c>
      <c r="N15" s="6"/>
      <c r="O15" s="6"/>
      <c r="P15" s="6"/>
    </row>
    <row r="16" spans="1:16">
      <c r="A16" s="6"/>
      <c r="B16" s="21" t="s">
        <v>68</v>
      </c>
      <c r="C16" s="6" t="s">
        <v>172</v>
      </c>
      <c r="D16" s="6" t="s">
        <v>57</v>
      </c>
      <c r="E16" s="6" t="s">
        <v>173</v>
      </c>
      <c r="F16" s="33" t="s">
        <v>80</v>
      </c>
      <c r="G16" s="10">
        <v>11552.91</v>
      </c>
      <c r="H16" s="10">
        <v>4584</v>
      </c>
      <c r="I16" s="31">
        <v>45602</v>
      </c>
      <c r="J16" s="31">
        <v>45936</v>
      </c>
      <c r="K16" s="14" t="str">
        <f t="shared" ca="1" si="0"/>
        <v>EXPIRED</v>
      </c>
      <c r="L16" s="31">
        <v>45566</v>
      </c>
      <c r="M16" s="31">
        <v>45931</v>
      </c>
      <c r="N16" s="6"/>
      <c r="O16" s="6"/>
      <c r="P16" s="6"/>
    </row>
    <row r="17" spans="1:16">
      <c r="A17" s="6"/>
      <c r="B17" s="21" t="s">
        <v>174</v>
      </c>
      <c r="C17" s="6" t="s">
        <v>175</v>
      </c>
      <c r="D17" s="6" t="s">
        <v>57</v>
      </c>
      <c r="E17" s="6" t="s">
        <v>58</v>
      </c>
      <c r="F17" s="6" t="s">
        <v>136</v>
      </c>
      <c r="G17" s="33">
        <v>7946.22</v>
      </c>
      <c r="H17" s="33" t="s">
        <v>80</v>
      </c>
      <c r="I17" s="33" t="s">
        <v>80</v>
      </c>
      <c r="J17" s="6"/>
      <c r="K17" s="14" t="str">
        <f t="shared" ca="1" si="0"/>
        <v>PLEASE INPUT LAST REG</v>
      </c>
      <c r="L17" s="31">
        <v>45566</v>
      </c>
      <c r="M17" s="31">
        <v>45931</v>
      </c>
      <c r="N17" s="6"/>
      <c r="O17" s="6"/>
      <c r="P17" s="6"/>
    </row>
    <row r="18" spans="1:16">
      <c r="A18" s="6"/>
      <c r="B18" s="21" t="s">
        <v>176</v>
      </c>
      <c r="C18" s="6" t="s">
        <v>177</v>
      </c>
      <c r="D18" s="6" t="s">
        <v>178</v>
      </c>
      <c r="E18" s="6" t="s">
        <v>179</v>
      </c>
      <c r="F18" s="33" t="s">
        <v>80</v>
      </c>
      <c r="G18" s="10">
        <v>12516.79</v>
      </c>
      <c r="H18" s="10">
        <v>2170</v>
      </c>
      <c r="I18" s="31">
        <v>45602</v>
      </c>
      <c r="J18" s="31">
        <v>45936</v>
      </c>
      <c r="K18" s="14" t="str">
        <f t="shared" ca="1" si="0"/>
        <v>EXPIRED</v>
      </c>
      <c r="L18" s="31">
        <v>45566</v>
      </c>
      <c r="M18" s="31">
        <v>45931</v>
      </c>
      <c r="N18" s="6"/>
      <c r="O18" s="6"/>
      <c r="P18" s="6"/>
    </row>
    <row r="19" spans="1:16">
      <c r="A19" s="6"/>
      <c r="B19" s="21" t="s">
        <v>115</v>
      </c>
      <c r="C19" s="6" t="s">
        <v>180</v>
      </c>
      <c r="D19" s="6" t="s">
        <v>57</v>
      </c>
      <c r="E19" s="6" t="s">
        <v>160</v>
      </c>
      <c r="F19" s="33" t="s">
        <v>80</v>
      </c>
      <c r="G19" s="10">
        <v>13650.89</v>
      </c>
      <c r="H19" s="10">
        <v>2410</v>
      </c>
      <c r="I19" s="31">
        <v>45602</v>
      </c>
      <c r="J19" s="31">
        <v>45936</v>
      </c>
      <c r="K19" s="14" t="str">
        <f t="shared" ca="1" si="0"/>
        <v>EXPIRED</v>
      </c>
      <c r="L19" s="31">
        <v>45566</v>
      </c>
      <c r="M19" s="31">
        <v>45931</v>
      </c>
      <c r="N19" s="6"/>
      <c r="O19" s="6"/>
      <c r="P19" s="6"/>
    </row>
    <row r="20" spans="1:16">
      <c r="A20" s="6"/>
      <c r="B20" s="21" t="s">
        <v>181</v>
      </c>
      <c r="C20" s="6" t="s">
        <v>182</v>
      </c>
      <c r="D20" s="6" t="s">
        <v>57</v>
      </c>
      <c r="E20" s="6" t="s">
        <v>160</v>
      </c>
      <c r="F20" s="33" t="s">
        <v>80</v>
      </c>
      <c r="G20" s="10">
        <v>13650.89</v>
      </c>
      <c r="H20" s="10">
        <v>2410</v>
      </c>
      <c r="I20" s="31">
        <v>45602</v>
      </c>
      <c r="J20" s="31">
        <v>45936</v>
      </c>
      <c r="K20" s="14" t="str">
        <f t="shared" ca="1" si="0"/>
        <v>EXPIRED</v>
      </c>
      <c r="L20" s="31">
        <v>45566</v>
      </c>
      <c r="M20" s="31">
        <v>45931</v>
      </c>
      <c r="N20" s="6"/>
      <c r="O20" s="6"/>
      <c r="P20" s="6"/>
    </row>
    <row r="21" spans="1:16">
      <c r="A21" s="6"/>
      <c r="B21" s="21" t="s">
        <v>68</v>
      </c>
      <c r="C21" s="6" t="s">
        <v>183</v>
      </c>
      <c r="D21" s="6" t="s">
        <v>57</v>
      </c>
      <c r="E21" s="6" t="s">
        <v>184</v>
      </c>
      <c r="F21" s="33" t="s">
        <v>80</v>
      </c>
      <c r="G21" s="10">
        <v>13650.89</v>
      </c>
      <c r="H21" s="10">
        <v>2410</v>
      </c>
      <c r="I21" s="31">
        <v>45602</v>
      </c>
      <c r="J21" s="31">
        <v>45936</v>
      </c>
      <c r="K21" s="14" t="str">
        <f t="shared" ca="1" si="0"/>
        <v>EXPIRED</v>
      </c>
      <c r="L21" s="31">
        <v>45566</v>
      </c>
      <c r="M21" s="31">
        <v>45931</v>
      </c>
      <c r="N21" s="6"/>
      <c r="O21" s="6"/>
      <c r="P21" s="6"/>
    </row>
    <row r="22" spans="1:16">
      <c r="A22" s="6"/>
      <c r="B22" s="21" t="s">
        <v>185</v>
      </c>
      <c r="C22" s="6" t="s">
        <v>186</v>
      </c>
      <c r="D22" s="6" t="s">
        <v>29</v>
      </c>
      <c r="E22" s="6" t="s">
        <v>41</v>
      </c>
      <c r="F22" s="33" t="s">
        <v>80</v>
      </c>
      <c r="G22" s="34">
        <v>1954.35</v>
      </c>
      <c r="H22" s="10">
        <v>250</v>
      </c>
      <c r="I22" s="31">
        <v>45602</v>
      </c>
      <c r="J22" s="31">
        <v>45936</v>
      </c>
      <c r="K22" s="14" t="str">
        <f t="shared" ca="1" si="0"/>
        <v>EXPIRED</v>
      </c>
      <c r="L22" s="31">
        <v>45566</v>
      </c>
      <c r="M22" s="31">
        <v>45931</v>
      </c>
      <c r="N22" s="6"/>
      <c r="O22" s="6"/>
      <c r="P22" s="6"/>
    </row>
    <row r="23" spans="1:16">
      <c r="A23" s="6"/>
      <c r="B23" s="21" t="s">
        <v>181</v>
      </c>
      <c r="C23" s="6" t="s">
        <v>187</v>
      </c>
      <c r="D23" s="6" t="s">
        <v>57</v>
      </c>
      <c r="E23" s="6" t="s">
        <v>188</v>
      </c>
      <c r="F23" s="33" t="s">
        <v>80</v>
      </c>
      <c r="G23" s="10">
        <v>11701.66</v>
      </c>
      <c r="H23" s="33" t="s">
        <v>80</v>
      </c>
      <c r="I23" s="33" t="s">
        <v>80</v>
      </c>
      <c r="J23" s="6"/>
      <c r="K23" s="14" t="str">
        <f t="shared" ca="1" si="0"/>
        <v>PLEASE INPUT LAST REG</v>
      </c>
      <c r="L23" s="6"/>
      <c r="M23" s="6"/>
      <c r="N23" s="6"/>
      <c r="O23" s="6"/>
      <c r="P23" s="6"/>
    </row>
    <row r="24" spans="1:16">
      <c r="A24" s="6"/>
      <c r="B24" s="21"/>
      <c r="C24" s="6"/>
      <c r="D24" s="6"/>
      <c r="E24" s="6"/>
      <c r="F24" s="33" t="s">
        <v>80</v>
      </c>
      <c r="G24" s="10">
        <v>1620.72</v>
      </c>
      <c r="H24" s="33" t="s">
        <v>80</v>
      </c>
      <c r="I24" s="33" t="s">
        <v>80</v>
      </c>
      <c r="J24" s="6"/>
      <c r="K24" s="14" t="str">
        <f t="shared" ca="1" si="0"/>
        <v>PLEASE INPUT LAST REG</v>
      </c>
      <c r="L24" s="6"/>
      <c r="M24" s="6"/>
      <c r="N24" s="6"/>
      <c r="O24" s="6"/>
      <c r="P24" s="6"/>
    </row>
    <row r="25" spans="1:16">
      <c r="A25" s="6"/>
      <c r="B25" s="21" t="s">
        <v>49</v>
      </c>
      <c r="C25" s="6" t="s">
        <v>189</v>
      </c>
      <c r="D25" s="6" t="s">
        <v>128</v>
      </c>
      <c r="E25" s="6" t="s">
        <v>27</v>
      </c>
      <c r="F25" s="33" t="s">
        <v>80</v>
      </c>
      <c r="G25" s="10">
        <v>9272.31</v>
      </c>
      <c r="H25" s="33" t="s">
        <v>80</v>
      </c>
      <c r="I25" s="33" t="s">
        <v>80</v>
      </c>
      <c r="J25" s="6"/>
      <c r="K25" s="14" t="str">
        <f t="shared" ca="1" si="0"/>
        <v>PLEASE INPUT LAST REG</v>
      </c>
      <c r="L25" s="31">
        <v>45670</v>
      </c>
      <c r="M25" s="31">
        <v>45962</v>
      </c>
      <c r="N25" s="6"/>
      <c r="O25" s="6"/>
      <c r="P25" s="6"/>
    </row>
    <row r="26" spans="1:16">
      <c r="A26" s="6"/>
      <c r="B26" s="21" t="s">
        <v>190</v>
      </c>
      <c r="C26" s="6" t="s">
        <v>191</v>
      </c>
      <c r="D26" s="6" t="s">
        <v>128</v>
      </c>
      <c r="E26" s="6" t="s">
        <v>27</v>
      </c>
      <c r="F26" s="33" t="s">
        <v>80</v>
      </c>
      <c r="G26" s="10">
        <v>10606.24</v>
      </c>
      <c r="H26" s="33" t="s">
        <v>80</v>
      </c>
      <c r="I26" s="33" t="s">
        <v>80</v>
      </c>
      <c r="J26" s="6"/>
      <c r="K26" s="14" t="str">
        <f t="shared" ca="1" si="0"/>
        <v>PLEASE INPUT LAST REG</v>
      </c>
      <c r="L26" s="31">
        <v>45670</v>
      </c>
      <c r="M26" s="31">
        <v>45962</v>
      </c>
      <c r="N26" s="6"/>
      <c r="O26" s="6"/>
      <c r="P26" s="6"/>
    </row>
    <row r="27" spans="1:16" ht="28.9" customHeight="1">
      <c r="A27" s="6"/>
      <c r="B27" s="21" t="s">
        <v>192</v>
      </c>
      <c r="C27" s="6" t="s">
        <v>193</v>
      </c>
      <c r="D27" s="6" t="s">
        <v>128</v>
      </c>
      <c r="E27" s="6" t="s">
        <v>27</v>
      </c>
      <c r="F27" s="33" t="s">
        <v>80</v>
      </c>
      <c r="G27" s="10">
        <v>10606.24</v>
      </c>
      <c r="H27" s="33" t="s">
        <v>80</v>
      </c>
      <c r="I27" s="33" t="s">
        <v>80</v>
      </c>
      <c r="J27" s="6"/>
      <c r="K27" s="14" t="str">
        <f t="shared" ca="1" si="0"/>
        <v>PLEASE INPUT LAST REG</v>
      </c>
      <c r="L27" s="31">
        <v>45670</v>
      </c>
      <c r="M27" s="31">
        <v>45962</v>
      </c>
      <c r="N27" s="6"/>
      <c r="O27" s="6"/>
      <c r="P27" s="6"/>
    </row>
    <row r="28" spans="1:16">
      <c r="A28" s="6"/>
      <c r="B28" s="21" t="s">
        <v>181</v>
      </c>
      <c r="C28" s="6" t="s">
        <v>194</v>
      </c>
      <c r="D28" s="6" t="s">
        <v>128</v>
      </c>
      <c r="E28" s="6" t="s">
        <v>27</v>
      </c>
      <c r="F28" s="33" t="s">
        <v>80</v>
      </c>
      <c r="G28" s="10">
        <v>10606.24</v>
      </c>
      <c r="H28" s="33" t="s">
        <v>80</v>
      </c>
      <c r="I28" s="33" t="s">
        <v>80</v>
      </c>
      <c r="J28" s="6"/>
      <c r="K28" s="14" t="str">
        <f t="shared" ca="1" si="0"/>
        <v>PLEASE INPUT LAST REG</v>
      </c>
      <c r="L28" s="31">
        <v>45670</v>
      </c>
      <c r="M28" s="31">
        <v>45962</v>
      </c>
      <c r="N28" s="6"/>
      <c r="O28" s="6"/>
      <c r="P28" s="6"/>
    </row>
    <row r="29" spans="1:16">
      <c r="A29" s="6"/>
      <c r="B29" s="21" t="s">
        <v>195</v>
      </c>
      <c r="C29" s="6" t="s">
        <v>196</v>
      </c>
      <c r="D29" s="6" t="s">
        <v>63</v>
      </c>
      <c r="E29" s="6" t="s">
        <v>41</v>
      </c>
      <c r="F29" s="33" t="s">
        <v>80</v>
      </c>
      <c r="G29" s="10">
        <v>1975.95</v>
      </c>
      <c r="H29" s="10">
        <v>250</v>
      </c>
      <c r="I29" s="31">
        <v>45602</v>
      </c>
      <c r="J29" s="31">
        <v>45936</v>
      </c>
      <c r="K29" s="14" t="str">
        <f t="shared" ca="1" si="0"/>
        <v>EXPIRED</v>
      </c>
      <c r="L29" s="6"/>
      <c r="M29" s="6"/>
      <c r="N29" s="6"/>
      <c r="O29" s="6"/>
      <c r="P29" s="6"/>
    </row>
    <row r="30" spans="1:16" ht="30">
      <c r="A30" s="6"/>
      <c r="B30" s="35" t="s">
        <v>197</v>
      </c>
      <c r="C30" s="6" t="s">
        <v>198</v>
      </c>
      <c r="D30" s="6" t="s">
        <v>199</v>
      </c>
      <c r="E30" s="6" t="s">
        <v>179</v>
      </c>
      <c r="F30" s="33" t="s">
        <v>80</v>
      </c>
      <c r="G30" s="33">
        <v>17491.009999999998</v>
      </c>
      <c r="H30" s="33" t="s">
        <v>80</v>
      </c>
      <c r="I30" s="33" t="s">
        <v>80</v>
      </c>
      <c r="J30" s="6"/>
      <c r="K30" s="14" t="str">
        <f t="shared" ca="1" si="0"/>
        <v>PLEASE INPUT LAST REG</v>
      </c>
      <c r="L30" s="31">
        <v>45597</v>
      </c>
      <c r="M30" s="31">
        <v>45962</v>
      </c>
      <c r="N30" s="6"/>
      <c r="O30" s="33">
        <v>19800000</v>
      </c>
      <c r="P30" s="6"/>
    </row>
    <row r="31" spans="1:16">
      <c r="A31" s="6"/>
      <c r="B31" s="21" t="s">
        <v>200</v>
      </c>
      <c r="C31" s="6" t="s">
        <v>201</v>
      </c>
      <c r="D31" s="6" t="s">
        <v>128</v>
      </c>
      <c r="E31" s="6" t="s">
        <v>202</v>
      </c>
      <c r="F31" s="33" t="s">
        <v>80</v>
      </c>
      <c r="G31" s="10">
        <v>18528.72</v>
      </c>
      <c r="H31" s="10">
        <v>2015</v>
      </c>
      <c r="I31" s="31">
        <v>45602</v>
      </c>
      <c r="J31" s="31">
        <v>45936</v>
      </c>
      <c r="K31" s="14" t="str">
        <f t="shared" ca="1" si="0"/>
        <v>EXPIRED</v>
      </c>
      <c r="L31" s="31">
        <v>45597</v>
      </c>
      <c r="M31" s="31">
        <v>45962</v>
      </c>
      <c r="N31" s="6"/>
      <c r="O31" s="6"/>
      <c r="P31" s="6"/>
    </row>
    <row r="32" spans="1:16">
      <c r="A32" s="6"/>
      <c r="B32" s="36" t="s">
        <v>80</v>
      </c>
      <c r="C32" s="6" t="s">
        <v>203</v>
      </c>
      <c r="D32" s="6" t="s">
        <v>204</v>
      </c>
      <c r="E32" s="6" t="s">
        <v>41</v>
      </c>
      <c r="F32" s="33" t="s">
        <v>80</v>
      </c>
      <c r="G32" s="10">
        <v>1658.9</v>
      </c>
      <c r="H32" s="33" t="s">
        <v>80</v>
      </c>
      <c r="I32" s="13">
        <v>45579</v>
      </c>
      <c r="J32" s="30">
        <v>45914</v>
      </c>
      <c r="K32" s="14" t="str">
        <f t="shared" ca="1" si="0"/>
        <v>EXPIRED</v>
      </c>
      <c r="L32" s="13">
        <v>45658</v>
      </c>
      <c r="M32" s="31">
        <v>45962</v>
      </c>
      <c r="N32" s="8"/>
      <c r="O32" s="8"/>
      <c r="P32" s="8"/>
    </row>
    <row r="33" spans="1:16">
      <c r="A33" s="6"/>
      <c r="B33" s="36" t="s">
        <v>80</v>
      </c>
      <c r="C33" s="6" t="s">
        <v>205</v>
      </c>
      <c r="D33" s="6" t="s">
        <v>29</v>
      </c>
      <c r="E33" s="6" t="s">
        <v>41</v>
      </c>
      <c r="F33" s="33" t="s">
        <v>80</v>
      </c>
      <c r="G33" s="10">
        <v>1658.9</v>
      </c>
      <c r="H33" s="33" t="s">
        <v>80</v>
      </c>
      <c r="I33" s="13">
        <v>45579</v>
      </c>
      <c r="J33" s="30">
        <v>45914</v>
      </c>
      <c r="K33" s="14" t="str">
        <f t="shared" ca="1" si="0"/>
        <v>EXPIRED</v>
      </c>
      <c r="L33" s="13">
        <v>45658</v>
      </c>
      <c r="M33" s="31">
        <v>45962</v>
      </c>
      <c r="N33" s="8"/>
      <c r="O33" s="8"/>
      <c r="P33" s="8"/>
    </row>
    <row r="34" spans="1:16">
      <c r="A34" s="6"/>
      <c r="B34" s="36" t="s">
        <v>80</v>
      </c>
      <c r="C34" s="6" t="s">
        <v>206</v>
      </c>
      <c r="D34" s="6" t="s">
        <v>29</v>
      </c>
      <c r="E34" s="6" t="s">
        <v>41</v>
      </c>
      <c r="F34" s="33" t="s">
        <v>80</v>
      </c>
      <c r="G34" s="10">
        <v>1906.65</v>
      </c>
      <c r="H34" s="33" t="s">
        <v>80</v>
      </c>
      <c r="I34" s="13">
        <v>45579</v>
      </c>
      <c r="J34" s="30">
        <v>45914</v>
      </c>
      <c r="K34" s="14" t="str">
        <f t="shared" ca="1" si="0"/>
        <v>EXPIRED</v>
      </c>
      <c r="L34" s="13">
        <v>45658</v>
      </c>
      <c r="M34" s="31">
        <v>45962</v>
      </c>
      <c r="N34" s="8"/>
      <c r="O34" s="8"/>
      <c r="P34" s="8"/>
    </row>
    <row r="35" spans="1:16">
      <c r="A35" s="6"/>
      <c r="B35" s="36" t="s">
        <v>80</v>
      </c>
      <c r="C35" s="6" t="s">
        <v>207</v>
      </c>
      <c r="D35" s="6" t="s">
        <v>29</v>
      </c>
      <c r="E35" s="6" t="s">
        <v>41</v>
      </c>
      <c r="F35" s="33" t="s">
        <v>80</v>
      </c>
      <c r="G35" s="10">
        <v>1658.9</v>
      </c>
      <c r="H35" s="33" t="s">
        <v>80</v>
      </c>
      <c r="I35" s="13">
        <v>45579</v>
      </c>
      <c r="J35" s="30">
        <v>45914</v>
      </c>
      <c r="K35" s="14" t="str">
        <f t="shared" ca="1" si="0"/>
        <v>EXPIRED</v>
      </c>
      <c r="L35" s="13">
        <v>45658</v>
      </c>
      <c r="M35" s="31">
        <v>45962</v>
      </c>
      <c r="N35" s="8"/>
      <c r="O35" s="8"/>
      <c r="P35" s="8"/>
    </row>
    <row r="36" spans="1:16">
      <c r="A36" s="6"/>
      <c r="B36" s="36" t="s">
        <v>80</v>
      </c>
      <c r="C36" s="6" t="s">
        <v>208</v>
      </c>
      <c r="D36" s="6" t="s">
        <v>69</v>
      </c>
      <c r="E36" s="6" t="s">
        <v>209</v>
      </c>
      <c r="F36" s="33" t="s">
        <v>80</v>
      </c>
      <c r="G36" s="10">
        <v>32901.96</v>
      </c>
      <c r="H36" s="33" t="s">
        <v>80</v>
      </c>
      <c r="I36" s="13">
        <v>45631</v>
      </c>
      <c r="J36" s="30">
        <v>45966</v>
      </c>
      <c r="K36" s="14" t="str">
        <f t="shared" ca="1" si="0"/>
        <v>EXPIRED</v>
      </c>
      <c r="L36" s="13">
        <v>45658</v>
      </c>
      <c r="M36" s="31">
        <v>45962</v>
      </c>
      <c r="N36" s="8"/>
      <c r="O36" s="8"/>
      <c r="P36" s="8"/>
    </row>
    <row r="37" spans="1:16">
      <c r="A37" s="6"/>
      <c r="B37" s="36" t="s">
        <v>80</v>
      </c>
      <c r="C37" s="6" t="s">
        <v>210</v>
      </c>
      <c r="D37" s="6" t="s">
        <v>69</v>
      </c>
      <c r="E37" s="6" t="s">
        <v>211</v>
      </c>
      <c r="F37" s="33" t="s">
        <v>80</v>
      </c>
      <c r="G37" s="10">
        <v>32901.96</v>
      </c>
      <c r="H37" s="33" t="s">
        <v>80</v>
      </c>
      <c r="I37" s="13">
        <v>45631</v>
      </c>
      <c r="J37" s="30">
        <v>45966</v>
      </c>
      <c r="K37" s="14" t="str">
        <f t="shared" ca="1" si="0"/>
        <v>EXPIRED</v>
      </c>
      <c r="L37" s="13">
        <v>45658</v>
      </c>
      <c r="M37" s="13">
        <v>45962</v>
      </c>
      <c r="N37" s="8"/>
      <c r="O37" s="8"/>
      <c r="P37" s="8"/>
    </row>
    <row r="38" spans="1:16">
      <c r="A38" s="6"/>
      <c r="B38" s="36" t="s">
        <v>80</v>
      </c>
      <c r="C38" s="6" t="s">
        <v>212</v>
      </c>
      <c r="D38" s="6" t="s">
        <v>69</v>
      </c>
      <c r="E38" s="6" t="s">
        <v>213</v>
      </c>
      <c r="F38" s="33" t="s">
        <v>80</v>
      </c>
      <c r="G38" s="10">
        <v>32901.96</v>
      </c>
      <c r="H38" s="33" t="s">
        <v>80</v>
      </c>
      <c r="I38" s="13">
        <v>45631</v>
      </c>
      <c r="J38" s="30">
        <v>45966</v>
      </c>
      <c r="K38" s="14" t="str">
        <f t="shared" ca="1" si="0"/>
        <v>EXPIRED</v>
      </c>
      <c r="L38" s="13">
        <v>45658</v>
      </c>
      <c r="M38" s="13">
        <v>45962</v>
      </c>
      <c r="N38" s="8"/>
      <c r="O38" s="8"/>
      <c r="P38" s="8"/>
    </row>
    <row r="39" spans="1:16">
      <c r="A39" s="6"/>
      <c r="B39" s="37" t="s">
        <v>87</v>
      </c>
      <c r="C39" s="6" t="s">
        <v>214</v>
      </c>
      <c r="D39" s="6" t="s">
        <v>29</v>
      </c>
      <c r="E39" s="6" t="s">
        <v>41</v>
      </c>
      <c r="F39" s="33" t="s">
        <v>80</v>
      </c>
      <c r="G39" s="10">
        <v>834.39</v>
      </c>
      <c r="H39" s="33" t="s">
        <v>80</v>
      </c>
      <c r="I39" s="13">
        <v>45618</v>
      </c>
      <c r="J39" s="30">
        <v>45952</v>
      </c>
      <c r="K39" s="14" t="str">
        <f t="shared" ca="1" si="0"/>
        <v>EXPIRED</v>
      </c>
      <c r="L39" s="13">
        <v>45698</v>
      </c>
      <c r="M39" s="13">
        <v>45748</v>
      </c>
      <c r="N39" s="8"/>
      <c r="O39" s="8"/>
      <c r="P39" s="8"/>
    </row>
    <row r="40" spans="1:16">
      <c r="A40" s="6"/>
      <c r="B40" s="37" t="s">
        <v>215</v>
      </c>
      <c r="C40" s="6" t="s">
        <v>216</v>
      </c>
      <c r="D40" s="6" t="s">
        <v>29</v>
      </c>
      <c r="E40" s="6" t="s">
        <v>41</v>
      </c>
      <c r="F40" s="33" t="s">
        <v>80</v>
      </c>
      <c r="G40" s="10">
        <v>741.56</v>
      </c>
      <c r="H40" s="33" t="s">
        <v>80</v>
      </c>
      <c r="I40" s="13">
        <v>45618</v>
      </c>
      <c r="J40" s="30">
        <v>45952</v>
      </c>
      <c r="K40" s="14" t="str">
        <f t="shared" ca="1" si="0"/>
        <v>EXPIRED</v>
      </c>
      <c r="L40" s="13">
        <v>45698</v>
      </c>
      <c r="M40" s="13">
        <v>45717</v>
      </c>
      <c r="N40" s="8"/>
      <c r="O40" s="8"/>
      <c r="P40" s="8"/>
    </row>
    <row r="41" spans="1:16">
      <c r="A41" s="1" t="s">
        <v>32</v>
      </c>
      <c r="G41" s="11">
        <f>SUM(G6:G40)</f>
        <v>326855.67</v>
      </c>
      <c r="H41" s="11">
        <f>SUM(H6:H40)</f>
        <v>28274</v>
      </c>
    </row>
    <row r="42" spans="1:16">
      <c r="A42" s="1" t="s">
        <v>33</v>
      </c>
    </row>
    <row r="43" spans="1:16">
      <c r="A43" s="1" t="s">
        <v>34</v>
      </c>
    </row>
    <row r="44" spans="1:16">
      <c r="A44" s="1" t="s">
        <v>35</v>
      </c>
    </row>
    <row r="45" spans="1:16">
      <c r="A45" s="1" t="s">
        <v>36</v>
      </c>
    </row>
    <row r="46" spans="1:16">
      <c r="A46" s="1" t="s">
        <v>37</v>
      </c>
    </row>
    <row r="47" spans="1:16">
      <c r="A47" s="1" t="s">
        <v>38</v>
      </c>
    </row>
  </sheetData>
  <mergeCells count="14">
    <mergeCell ref="P4:P5"/>
    <mergeCell ref="F2:K3"/>
    <mergeCell ref="L4:M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K6:K40">
    <cfRule type="containsText" dxfId="23" priority="1" operator="containsText" text="REGISTERED">
      <formula>NOT(ISERROR(SEARCH("REGISTERED",K6)))</formula>
    </cfRule>
    <cfRule type="containsText" dxfId="22" priority="2" operator="containsText" text=" DAYS BEFORE EXPIRY">
      <formula>NOT(ISERROR(SEARCH(" DAYS BEFORE EXPIRY",K6)))</formula>
    </cfRule>
    <cfRule type="containsText" dxfId="21" priority="3" operator="containsText" text="DAYS BEFORE 2 WEEK NOTICE">
      <formula>NOT(ISERROR(SEARCH("DAYS BEFORE 2 WEEK NOTICE",K6)))</formula>
    </cfRule>
    <cfRule type="containsText" dxfId="20" priority="4" operator="containsText" text="PLEASE INPUT LAST REG">
      <formula>NOT(ISERROR(SEARCH("PLEASE INPUT LAST REG",K6)))</formula>
    </cfRule>
    <cfRule type="cellIs" dxfId="19" priority="5" operator="equal">
      <formula>"EXPIRED"</formula>
    </cfRule>
    <cfRule type="cellIs" dxfId="18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6699"/>
  </sheetPr>
  <dimension ref="A1:P26"/>
  <sheetViews>
    <sheetView zoomScale="82" zoomScaleNormal="82" workbookViewId="0">
      <selection activeCell="N24" sqref="N24"/>
    </sheetView>
  </sheetViews>
  <sheetFormatPr defaultColWidth="8.85546875" defaultRowHeight="15"/>
  <cols>
    <col min="1" max="1" width="14.85546875" style="1" customWidth="1"/>
    <col min="2" max="2" width="16.7109375" style="1" customWidth="1"/>
    <col min="3" max="3" width="18.85546875" style="1" customWidth="1"/>
    <col min="4" max="4" width="16.28515625" style="1" customWidth="1"/>
    <col min="5" max="5" width="17.140625" style="1" customWidth="1"/>
    <col min="6" max="6" width="8.5703125" style="1" customWidth="1"/>
    <col min="7" max="7" width="16.7109375" style="1" customWidth="1"/>
    <col min="8" max="8" width="15.42578125" style="1" customWidth="1"/>
    <col min="9" max="9" width="16" style="1" customWidth="1"/>
    <col min="10" max="10" width="13.28515625" style="1" customWidth="1"/>
    <col min="11" max="11" width="22.28515625" style="1" customWidth="1"/>
    <col min="12" max="12" width="12" style="1" customWidth="1"/>
    <col min="13" max="13" width="13.7109375" style="1" customWidth="1"/>
    <col min="14" max="14" width="16" style="1" customWidth="1"/>
    <col min="15" max="15" width="16.28515625" style="1" customWidth="1"/>
    <col min="16" max="16" width="18.140625" style="1" customWidth="1"/>
    <col min="17" max="17" width="23.28515625" style="1" customWidth="1"/>
    <col min="18" max="16384" width="8.85546875" style="1"/>
  </cols>
  <sheetData>
    <row r="1" spans="1:16" ht="28.15" customHeight="1">
      <c r="A1" s="17" t="s">
        <v>0</v>
      </c>
      <c r="F1" s="98" t="s">
        <v>1</v>
      </c>
      <c r="G1" s="98"/>
      <c r="H1" s="98"/>
      <c r="I1" s="98"/>
      <c r="J1" s="98"/>
      <c r="K1" s="98"/>
      <c r="L1" s="98"/>
      <c r="M1" s="98"/>
    </row>
    <row r="2" spans="1:16" ht="14.45" customHeight="1">
      <c r="A2" s="18">
        <f ca="1">TODAY()</f>
        <v>46085</v>
      </c>
      <c r="F2" s="98"/>
      <c r="G2" s="98"/>
      <c r="H2" s="98"/>
      <c r="I2" s="98"/>
      <c r="J2" s="98"/>
      <c r="K2" s="98"/>
      <c r="L2" s="98"/>
      <c r="M2" s="98"/>
    </row>
    <row r="3" spans="1:16" ht="14.45" customHeight="1"/>
    <row r="4" spans="1:16" ht="30">
      <c r="A4" s="93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26" t="s">
        <v>12</v>
      </c>
      <c r="L4" s="99" t="s">
        <v>13</v>
      </c>
      <c r="M4" s="99"/>
      <c r="N4" s="19" t="s">
        <v>14</v>
      </c>
      <c r="O4" s="26" t="s">
        <v>15</v>
      </c>
      <c r="P4" s="27" t="s">
        <v>16</v>
      </c>
    </row>
    <row r="5" spans="1:16">
      <c r="A5" s="100"/>
      <c r="B5" s="19"/>
      <c r="C5" s="19"/>
      <c r="D5" s="19"/>
      <c r="E5" s="19"/>
      <c r="F5" s="19"/>
      <c r="G5" s="20"/>
      <c r="H5" s="20"/>
      <c r="I5" s="20"/>
      <c r="J5" s="20"/>
      <c r="K5" s="28"/>
      <c r="L5" s="19" t="s">
        <v>17</v>
      </c>
      <c r="M5" s="19" t="s">
        <v>18</v>
      </c>
      <c r="N5" s="19"/>
      <c r="O5" s="26"/>
      <c r="P5" s="29"/>
    </row>
    <row r="6" spans="1:16">
      <c r="A6" s="6"/>
      <c r="B6" s="21" t="s">
        <v>26</v>
      </c>
      <c r="C6" s="9" t="s">
        <v>217</v>
      </c>
      <c r="D6" s="9" t="s">
        <v>63</v>
      </c>
      <c r="E6" s="9" t="s">
        <v>30</v>
      </c>
      <c r="F6" s="8"/>
      <c r="G6" s="10">
        <v>2172.35</v>
      </c>
      <c r="H6" s="10">
        <v>250</v>
      </c>
      <c r="I6" s="30">
        <v>45688</v>
      </c>
      <c r="J6" s="30">
        <v>45961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31">
        <v>45689</v>
      </c>
      <c r="M6" s="31">
        <v>46054</v>
      </c>
      <c r="N6" s="8"/>
      <c r="O6" s="8"/>
      <c r="P6" s="8"/>
    </row>
    <row r="7" spans="1:16">
      <c r="A7" s="22"/>
      <c r="B7" s="21" t="s">
        <v>26</v>
      </c>
      <c r="C7" s="9" t="s">
        <v>218</v>
      </c>
      <c r="D7" s="9" t="s">
        <v>63</v>
      </c>
      <c r="E7" s="9" t="s">
        <v>30</v>
      </c>
      <c r="F7" s="8"/>
      <c r="G7" s="10">
        <v>1891.85</v>
      </c>
      <c r="H7" s="10">
        <v>250</v>
      </c>
      <c r="I7" s="30">
        <v>45688</v>
      </c>
      <c r="J7" s="30">
        <v>45961</v>
      </c>
      <c r="K7" s="14" t="str">
        <f t="shared" ref="K7:K19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1">
        <v>45689</v>
      </c>
      <c r="M7" s="31">
        <v>46054</v>
      </c>
      <c r="N7" s="8"/>
      <c r="O7" s="8"/>
      <c r="P7" s="8"/>
    </row>
    <row r="8" spans="1:16">
      <c r="A8" s="6"/>
      <c r="B8" s="21" t="s">
        <v>26</v>
      </c>
      <c r="C8" s="9" t="s">
        <v>219</v>
      </c>
      <c r="D8" s="9" t="s">
        <v>63</v>
      </c>
      <c r="E8" s="9" t="s">
        <v>30</v>
      </c>
      <c r="F8" s="8"/>
      <c r="G8" s="10">
        <v>1891.85</v>
      </c>
      <c r="H8" s="10">
        <v>370</v>
      </c>
      <c r="I8" s="30">
        <v>45693</v>
      </c>
      <c r="J8" s="30">
        <v>46027</v>
      </c>
      <c r="K8" s="14" t="str">
        <f t="shared" ca="1" si="0"/>
        <v>EXPIRED</v>
      </c>
      <c r="L8" s="31">
        <v>45689</v>
      </c>
      <c r="M8" s="31">
        <v>46054</v>
      </c>
      <c r="N8" s="8"/>
      <c r="O8" s="8"/>
      <c r="P8" s="8"/>
    </row>
    <row r="9" spans="1:16">
      <c r="A9" s="6"/>
      <c r="B9" s="21" t="s">
        <v>26</v>
      </c>
      <c r="C9" s="9" t="s">
        <v>220</v>
      </c>
      <c r="D9" s="9" t="s">
        <v>63</v>
      </c>
      <c r="E9" s="9" t="s">
        <v>30</v>
      </c>
      <c r="F9" s="8"/>
      <c r="G9" s="10">
        <v>1891.85</v>
      </c>
      <c r="H9" s="10">
        <v>250</v>
      </c>
      <c r="I9" s="30">
        <v>45688</v>
      </c>
      <c r="J9" s="30">
        <v>45961</v>
      </c>
      <c r="K9" s="14" t="str">
        <f t="shared" ca="1" si="0"/>
        <v>EXPIRED</v>
      </c>
      <c r="L9" s="31">
        <v>45689</v>
      </c>
      <c r="M9" s="31">
        <v>46054</v>
      </c>
      <c r="N9" s="8"/>
      <c r="O9" s="8"/>
      <c r="P9" s="8"/>
    </row>
    <row r="10" spans="1:16">
      <c r="A10" s="6"/>
      <c r="B10" s="21" t="s">
        <v>26</v>
      </c>
      <c r="C10" s="9" t="s">
        <v>221</v>
      </c>
      <c r="D10" s="9" t="s">
        <v>63</v>
      </c>
      <c r="E10" s="9" t="s">
        <v>30</v>
      </c>
      <c r="F10" s="8"/>
      <c r="G10" s="10">
        <v>1891.85</v>
      </c>
      <c r="H10" s="10">
        <v>250</v>
      </c>
      <c r="I10" s="30">
        <v>45688</v>
      </c>
      <c r="J10" s="30">
        <v>45961</v>
      </c>
      <c r="K10" s="14" t="str">
        <f t="shared" ca="1" si="0"/>
        <v>EXPIRED</v>
      </c>
      <c r="L10" s="31">
        <v>45689</v>
      </c>
      <c r="M10" s="31">
        <v>46054</v>
      </c>
      <c r="N10" s="8"/>
      <c r="O10" s="8"/>
      <c r="P10" s="8"/>
    </row>
    <row r="11" spans="1:16">
      <c r="A11" s="6"/>
      <c r="B11" s="21" t="s">
        <v>51</v>
      </c>
      <c r="C11" s="9" t="s">
        <v>222</v>
      </c>
      <c r="D11" s="9" t="s">
        <v>29</v>
      </c>
      <c r="E11" s="9" t="s">
        <v>30</v>
      </c>
      <c r="F11" s="8"/>
      <c r="G11" s="10">
        <v>1891.85</v>
      </c>
      <c r="H11" s="10">
        <v>250</v>
      </c>
      <c r="I11" s="30">
        <v>45321</v>
      </c>
      <c r="J11" s="30">
        <v>45960</v>
      </c>
      <c r="K11" s="14" t="str">
        <f t="shared" ca="1" si="0"/>
        <v>EXPIRED</v>
      </c>
      <c r="L11" s="31">
        <v>45689</v>
      </c>
      <c r="M11" s="31">
        <v>46054</v>
      </c>
      <c r="N11" s="8"/>
      <c r="O11" s="8"/>
      <c r="P11" s="8"/>
    </row>
    <row r="12" spans="1:16">
      <c r="A12" s="6"/>
      <c r="B12" s="21" t="s">
        <v>174</v>
      </c>
      <c r="C12" s="9" t="s">
        <v>223</v>
      </c>
      <c r="D12" s="9" t="s">
        <v>128</v>
      </c>
      <c r="E12" s="9" t="s">
        <v>27</v>
      </c>
      <c r="F12" s="8"/>
      <c r="G12" s="10">
        <v>4138.2299999999996</v>
      </c>
      <c r="H12" s="10">
        <v>3790</v>
      </c>
      <c r="I12" s="30">
        <v>45706</v>
      </c>
      <c r="J12" s="30">
        <v>45948</v>
      </c>
      <c r="K12" s="14" t="str">
        <f t="shared" ca="1" si="0"/>
        <v>EXPIRED</v>
      </c>
      <c r="L12" s="31">
        <v>45689</v>
      </c>
      <c r="M12" s="31">
        <v>46054</v>
      </c>
      <c r="N12" s="8"/>
      <c r="O12" s="8"/>
      <c r="P12" s="8"/>
    </row>
    <row r="13" spans="1:16">
      <c r="A13" s="6"/>
      <c r="B13" s="21" t="s">
        <v>39</v>
      </c>
      <c r="C13" s="9" t="s">
        <v>224</v>
      </c>
      <c r="D13" s="9" t="s">
        <v>21</v>
      </c>
      <c r="E13" s="9" t="s">
        <v>46</v>
      </c>
      <c r="F13" s="8"/>
      <c r="G13" s="10">
        <v>6878.64</v>
      </c>
      <c r="H13" s="10">
        <v>2290</v>
      </c>
      <c r="I13" s="30">
        <v>45688</v>
      </c>
      <c r="J13" s="30">
        <v>45961</v>
      </c>
      <c r="K13" s="14" t="str">
        <f t="shared" ca="1" si="0"/>
        <v>EXPIRED</v>
      </c>
      <c r="L13" s="31">
        <v>45689</v>
      </c>
      <c r="M13" s="31">
        <v>46054</v>
      </c>
      <c r="N13" s="8"/>
      <c r="O13" s="8"/>
      <c r="P13" s="8"/>
    </row>
    <row r="14" spans="1:16">
      <c r="A14" s="6"/>
      <c r="B14" s="21" t="s">
        <v>68</v>
      </c>
      <c r="C14" s="9" t="s">
        <v>225</v>
      </c>
      <c r="D14" s="9" t="s">
        <v>69</v>
      </c>
      <c r="E14" s="9" t="s">
        <v>70</v>
      </c>
      <c r="F14" s="8"/>
      <c r="G14" s="10">
        <v>22850.74</v>
      </c>
      <c r="H14" s="10">
        <v>7640</v>
      </c>
      <c r="I14" s="30">
        <v>45688</v>
      </c>
      <c r="J14" s="30">
        <v>45961</v>
      </c>
      <c r="K14" s="14" t="str">
        <f t="shared" ca="1" si="0"/>
        <v>EXPIRED</v>
      </c>
      <c r="L14" s="31">
        <v>45689</v>
      </c>
      <c r="M14" s="31">
        <v>46054</v>
      </c>
      <c r="N14" s="8"/>
      <c r="O14" s="8"/>
      <c r="P14" s="8"/>
    </row>
    <row r="15" spans="1:16">
      <c r="A15" s="6"/>
      <c r="B15" s="21" t="s">
        <v>106</v>
      </c>
      <c r="C15" s="9" t="s">
        <v>226</v>
      </c>
      <c r="D15" s="9" t="s">
        <v>29</v>
      </c>
      <c r="E15" s="9" t="s">
        <v>30</v>
      </c>
      <c r="F15" s="8"/>
      <c r="G15" s="10">
        <v>1954.35</v>
      </c>
      <c r="H15" s="10">
        <v>107</v>
      </c>
      <c r="I15" s="30">
        <v>45688</v>
      </c>
      <c r="J15" s="30">
        <v>45961</v>
      </c>
      <c r="K15" s="14" t="str">
        <f t="shared" ca="1" si="0"/>
        <v>EXPIRED</v>
      </c>
      <c r="L15" s="31">
        <v>45689</v>
      </c>
      <c r="M15" s="31">
        <v>46054</v>
      </c>
      <c r="N15" s="8"/>
      <c r="O15" s="8"/>
      <c r="P15" s="8"/>
    </row>
    <row r="16" spans="1:16">
      <c r="A16" s="6"/>
      <c r="B16" s="21" t="s">
        <v>68</v>
      </c>
      <c r="C16" s="9">
        <v>102001</v>
      </c>
      <c r="D16" s="9" t="s">
        <v>227</v>
      </c>
      <c r="E16" s="9" t="s">
        <v>228</v>
      </c>
      <c r="F16" s="8"/>
      <c r="G16" s="10">
        <v>22735.75</v>
      </c>
      <c r="H16" s="10">
        <v>5220</v>
      </c>
      <c r="I16" s="30">
        <v>45688</v>
      </c>
      <c r="J16" s="30">
        <v>45961</v>
      </c>
      <c r="K16" s="14" t="str">
        <f t="shared" ca="1" si="0"/>
        <v>EXPIRED</v>
      </c>
      <c r="L16" s="31">
        <v>45689</v>
      </c>
      <c r="M16" s="31">
        <v>46054</v>
      </c>
      <c r="N16" s="8"/>
      <c r="O16" s="8"/>
      <c r="P16" s="8"/>
    </row>
    <row r="17" spans="1:16">
      <c r="A17" s="6"/>
      <c r="B17" s="21" t="s">
        <v>26</v>
      </c>
      <c r="C17" s="9" t="s">
        <v>229</v>
      </c>
      <c r="D17" s="9" t="s">
        <v>128</v>
      </c>
      <c r="E17" s="9" t="s">
        <v>27</v>
      </c>
      <c r="F17" s="8"/>
      <c r="G17" s="10">
        <v>12462.91</v>
      </c>
      <c r="H17" s="10">
        <v>3790</v>
      </c>
      <c r="I17" s="30">
        <v>45693</v>
      </c>
      <c r="J17" s="30">
        <v>46027</v>
      </c>
      <c r="K17" s="14" t="str">
        <f t="shared" ca="1" si="0"/>
        <v>EXPIRED</v>
      </c>
      <c r="L17" s="31">
        <v>45689</v>
      </c>
      <c r="M17" s="31">
        <v>46054</v>
      </c>
      <c r="N17" s="8"/>
      <c r="O17" s="8"/>
      <c r="P17" s="8"/>
    </row>
    <row r="18" spans="1:16">
      <c r="A18" s="6"/>
      <c r="B18" s="21" t="s">
        <v>113</v>
      </c>
      <c r="C18" s="9" t="s">
        <v>230</v>
      </c>
      <c r="D18" s="9" t="s">
        <v>128</v>
      </c>
      <c r="E18" s="9" t="s">
        <v>27</v>
      </c>
      <c r="F18" s="8"/>
      <c r="G18" s="10">
        <v>12337.51</v>
      </c>
      <c r="H18" s="10">
        <v>2530</v>
      </c>
      <c r="I18" s="30">
        <v>45688</v>
      </c>
      <c r="J18" s="30">
        <v>45961</v>
      </c>
      <c r="K18" s="14" t="str">
        <f t="shared" ca="1" si="0"/>
        <v>EXPIRED</v>
      </c>
      <c r="L18" s="31">
        <v>45689</v>
      </c>
      <c r="M18" s="31">
        <v>46054</v>
      </c>
      <c r="N18" s="8"/>
      <c r="O18" s="8"/>
      <c r="P18" s="8"/>
    </row>
    <row r="19" spans="1:16" ht="30">
      <c r="A19" s="6"/>
      <c r="B19" s="21" t="s">
        <v>181</v>
      </c>
      <c r="C19" s="23" t="s">
        <v>231</v>
      </c>
      <c r="D19" s="6" t="s">
        <v>199</v>
      </c>
      <c r="E19" s="24" t="s">
        <v>179</v>
      </c>
      <c r="F19" s="8"/>
      <c r="G19" s="25">
        <v>17124.189999999999</v>
      </c>
      <c r="H19" s="25">
        <v>3610</v>
      </c>
      <c r="I19" s="31">
        <v>45693</v>
      </c>
      <c r="J19" s="31">
        <v>46027</v>
      </c>
      <c r="K19" s="14" t="str">
        <f t="shared" ca="1" si="0"/>
        <v>EXPIRED</v>
      </c>
      <c r="L19" s="31">
        <v>45689</v>
      </c>
      <c r="M19" s="31">
        <v>46054</v>
      </c>
      <c r="N19" s="8"/>
      <c r="O19" s="8"/>
      <c r="P19" s="8"/>
    </row>
    <row r="20" spans="1:16">
      <c r="A20" s="1" t="s">
        <v>32</v>
      </c>
      <c r="G20" s="11">
        <f>SUM(G6:G19)</f>
        <v>112113.92</v>
      </c>
      <c r="H20" s="11">
        <f>SUM(H6:H19)</f>
        <v>30597</v>
      </c>
    </row>
    <row r="21" spans="1:16">
      <c r="A21" s="1" t="s">
        <v>33</v>
      </c>
    </row>
    <row r="22" spans="1:16">
      <c r="A22" s="1" t="s">
        <v>34</v>
      </c>
    </row>
    <row r="23" spans="1:16">
      <c r="A23" s="1" t="s">
        <v>35</v>
      </c>
    </row>
    <row r="24" spans="1:16">
      <c r="A24" s="1" t="s">
        <v>36</v>
      </c>
    </row>
    <row r="25" spans="1:16">
      <c r="A25" s="1" t="s">
        <v>37</v>
      </c>
    </row>
    <row r="26" spans="1:16">
      <c r="A26" s="1" t="s">
        <v>38</v>
      </c>
    </row>
  </sheetData>
  <mergeCells count="3">
    <mergeCell ref="L4:M4"/>
    <mergeCell ref="A4:A5"/>
    <mergeCell ref="F1:M2"/>
  </mergeCells>
  <conditionalFormatting sqref="K6:K19">
    <cfRule type="containsText" dxfId="17" priority="1" operator="containsText" text="REGISTERED">
      <formula>NOT(ISERROR(SEARCH("REGISTERED",K6)))</formula>
    </cfRule>
    <cfRule type="containsText" dxfId="16" priority="2" operator="containsText" text=" DAYS BEFORE EXPIRY">
      <formula>NOT(ISERROR(SEARCH(" DAYS BEFORE EXPIRY",K6)))</formula>
    </cfRule>
    <cfRule type="containsText" dxfId="15" priority="3" operator="containsText" text="DAYS BEFORE 2 WEEK NOTICE">
      <formula>NOT(ISERROR(SEARCH("DAYS BEFORE 2 WEEK NOTICE",K6)))</formula>
    </cfRule>
    <cfRule type="containsText" dxfId="14" priority="4" operator="containsText" text="PLEASE INPUT LAST REG">
      <formula>NOT(ISERROR(SEARCH("PLEASE INPUT LAST REG",K6)))</formula>
    </cfRule>
    <cfRule type="cellIs" dxfId="13" priority="5" operator="equal">
      <formula>"EXPIRED"</formula>
    </cfRule>
    <cfRule type="cellIs" dxfId="12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6699"/>
    <pageSetUpPr fitToPage="1"/>
  </sheetPr>
  <dimension ref="A1:P21"/>
  <sheetViews>
    <sheetView topLeftCell="B4" zoomScaleNormal="100" workbookViewId="0">
      <selection activeCell="B15" sqref="B15:B21"/>
    </sheetView>
  </sheetViews>
  <sheetFormatPr defaultColWidth="8.85546875" defaultRowHeight="15"/>
  <cols>
    <col min="1" max="1" width="15.5703125" style="1" customWidth="1"/>
    <col min="2" max="2" width="12.140625" style="1" customWidth="1"/>
    <col min="3" max="3" width="15.5703125" style="1" customWidth="1"/>
    <col min="4" max="4" width="10.7109375" style="1" customWidth="1"/>
    <col min="5" max="5" width="13.140625" style="2" customWidth="1"/>
    <col min="6" max="6" width="8.85546875" style="1"/>
    <col min="7" max="7" width="11.42578125" style="1" customWidth="1"/>
    <col min="8" max="8" width="11.5703125" style="1" customWidth="1"/>
    <col min="9" max="9" width="13.5703125" style="1" customWidth="1"/>
    <col min="10" max="10" width="15.28515625" style="1" customWidth="1"/>
    <col min="11" max="11" width="13.140625" style="1" customWidth="1"/>
    <col min="12" max="13" width="10.5703125" style="1" customWidth="1"/>
    <col min="14" max="14" width="17.5703125" style="1" customWidth="1"/>
    <col min="15" max="15" width="14" style="1" customWidth="1"/>
    <col min="16" max="16" width="11.85546875" style="1" customWidth="1"/>
    <col min="17" max="16384" width="8.85546875" style="1"/>
  </cols>
  <sheetData>
    <row r="1" spans="1:16">
      <c r="A1" s="3" t="s">
        <v>0</v>
      </c>
    </row>
    <row r="2" spans="1:16" ht="14.45" customHeight="1">
      <c r="A2" s="4">
        <f ca="1">TODAY()</f>
        <v>46085</v>
      </c>
      <c r="F2" s="98" t="s">
        <v>1</v>
      </c>
      <c r="G2" s="98"/>
      <c r="H2" s="98"/>
      <c r="I2" s="98"/>
      <c r="J2" s="98"/>
      <c r="K2" s="98"/>
      <c r="L2" s="98"/>
      <c r="M2" s="98"/>
    </row>
    <row r="3" spans="1:16" ht="14.45" customHeight="1">
      <c r="F3" s="98"/>
      <c r="G3" s="98"/>
      <c r="H3" s="98"/>
      <c r="I3" s="98"/>
      <c r="J3" s="98"/>
      <c r="K3" s="98"/>
      <c r="L3" s="98"/>
      <c r="M3" s="98"/>
    </row>
    <row r="4" spans="1:16" ht="30">
      <c r="A4" s="93" t="s">
        <v>2</v>
      </c>
      <c r="B4" s="110" t="s">
        <v>3</v>
      </c>
      <c r="C4" s="94" t="s">
        <v>4</v>
      </c>
      <c r="D4" s="94" t="s">
        <v>5</v>
      </c>
      <c r="E4" s="94" t="s">
        <v>6</v>
      </c>
      <c r="F4" s="94" t="s">
        <v>7</v>
      </c>
      <c r="G4" s="112" t="s">
        <v>8</v>
      </c>
      <c r="H4" s="112" t="s">
        <v>9</v>
      </c>
      <c r="I4" s="112" t="s">
        <v>10</v>
      </c>
      <c r="J4" s="112" t="s">
        <v>11</v>
      </c>
      <c r="K4" s="112" t="s">
        <v>12</v>
      </c>
      <c r="L4" s="109" t="s">
        <v>13</v>
      </c>
      <c r="M4" s="109"/>
      <c r="N4" s="5" t="s">
        <v>14</v>
      </c>
      <c r="O4" s="12" t="s">
        <v>15</v>
      </c>
      <c r="P4" s="93" t="s">
        <v>16</v>
      </c>
    </row>
    <row r="5" spans="1:16">
      <c r="A5" s="100"/>
      <c r="B5" s="111"/>
      <c r="C5" s="94"/>
      <c r="D5" s="94"/>
      <c r="E5" s="94"/>
      <c r="F5" s="94"/>
      <c r="G5" s="94"/>
      <c r="H5" s="94"/>
      <c r="I5" s="94"/>
      <c r="J5" s="94"/>
      <c r="K5" s="94"/>
      <c r="L5" s="5" t="s">
        <v>17</v>
      </c>
      <c r="M5" s="5" t="s">
        <v>18</v>
      </c>
      <c r="N5" s="5"/>
      <c r="O5" s="12"/>
      <c r="P5" s="94"/>
    </row>
    <row r="6" spans="1:16">
      <c r="A6" s="6"/>
      <c r="B6" s="7" t="s">
        <v>232</v>
      </c>
      <c r="C6" s="8" t="s">
        <v>233</v>
      </c>
      <c r="D6" s="9" t="s">
        <v>128</v>
      </c>
      <c r="E6" s="9" t="s">
        <v>234</v>
      </c>
      <c r="F6" s="8"/>
      <c r="G6" s="10">
        <v>7891.27</v>
      </c>
      <c r="H6" s="10">
        <v>2010</v>
      </c>
      <c r="I6" s="31">
        <v>45715</v>
      </c>
      <c r="J6" s="31">
        <v>46049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13">
        <v>45717</v>
      </c>
      <c r="M6" s="13">
        <v>46082</v>
      </c>
      <c r="N6" s="8"/>
      <c r="O6" s="10">
        <v>1711236</v>
      </c>
      <c r="P6" s="15">
        <v>42156</v>
      </c>
    </row>
    <row r="7" spans="1:16">
      <c r="A7" s="87"/>
      <c r="B7" s="7" t="s">
        <v>51</v>
      </c>
      <c r="C7" s="8" t="s">
        <v>235</v>
      </c>
      <c r="D7" s="9" t="s">
        <v>29</v>
      </c>
      <c r="E7" s="9" t="s">
        <v>30</v>
      </c>
      <c r="F7" s="8"/>
      <c r="G7" s="10">
        <v>1705.35</v>
      </c>
      <c r="H7" s="10">
        <v>250</v>
      </c>
      <c r="I7" s="88">
        <v>45715</v>
      </c>
      <c r="J7" s="88">
        <v>46049</v>
      </c>
      <c r="K7" s="14" t="str">
        <f t="shared" ref="K7:K12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16">
        <v>45717</v>
      </c>
      <c r="M7" s="16">
        <v>46082</v>
      </c>
      <c r="N7" s="8"/>
      <c r="O7" s="10">
        <v>83100</v>
      </c>
      <c r="P7" s="15">
        <v>41974</v>
      </c>
    </row>
    <row r="8" spans="1:16">
      <c r="A8" s="6"/>
      <c r="B8" s="7" t="s">
        <v>68</v>
      </c>
      <c r="C8" s="8" t="s">
        <v>236</v>
      </c>
      <c r="D8" s="9" t="s">
        <v>57</v>
      </c>
      <c r="E8" s="9" t="s">
        <v>237</v>
      </c>
      <c r="F8" s="8"/>
      <c r="G8" s="10">
        <v>7971.85</v>
      </c>
      <c r="H8" s="10">
        <v>2410</v>
      </c>
      <c r="I8" s="88">
        <v>45715</v>
      </c>
      <c r="J8" s="88">
        <v>46049</v>
      </c>
      <c r="K8" s="14" t="str">
        <f t="shared" ca="1" si="0"/>
        <v>EXPIRED</v>
      </c>
      <c r="L8" s="16">
        <v>45717</v>
      </c>
      <c r="M8" s="16">
        <v>46082</v>
      </c>
      <c r="N8" s="8"/>
      <c r="O8" s="10">
        <v>999000</v>
      </c>
      <c r="P8" s="15">
        <v>42979</v>
      </c>
    </row>
    <row r="9" spans="1:16">
      <c r="A9" s="6"/>
      <c r="B9" s="7" t="s">
        <v>68</v>
      </c>
      <c r="C9" s="8" t="s">
        <v>238</v>
      </c>
      <c r="D9" s="9" t="s">
        <v>69</v>
      </c>
      <c r="E9" s="9" t="s">
        <v>70</v>
      </c>
      <c r="F9" s="8"/>
      <c r="G9" s="10">
        <v>18624.07</v>
      </c>
      <c r="H9" s="10">
        <v>7640</v>
      </c>
      <c r="I9" s="88">
        <v>45715</v>
      </c>
      <c r="J9" s="88">
        <v>46049</v>
      </c>
      <c r="K9" s="14" t="str">
        <f t="shared" ca="1" si="0"/>
        <v>EXPIRED</v>
      </c>
      <c r="L9" s="16">
        <v>45717</v>
      </c>
      <c r="M9" s="16">
        <v>46082</v>
      </c>
      <c r="N9" s="8"/>
      <c r="O9" s="10">
        <v>4000000</v>
      </c>
      <c r="P9" s="15">
        <v>43466</v>
      </c>
    </row>
    <row r="10" spans="1:16">
      <c r="A10" s="6"/>
      <c r="B10" s="7" t="s">
        <v>232</v>
      </c>
      <c r="C10" s="8" t="s">
        <v>239</v>
      </c>
      <c r="D10" s="9" t="s">
        <v>128</v>
      </c>
      <c r="E10" s="9" t="s">
        <v>240</v>
      </c>
      <c r="F10" s="8"/>
      <c r="G10" s="10">
        <v>11925.07</v>
      </c>
      <c r="H10" s="10">
        <v>2210</v>
      </c>
      <c r="I10" s="88">
        <v>45715</v>
      </c>
      <c r="J10" s="88">
        <v>46049</v>
      </c>
      <c r="K10" s="14" t="str">
        <f t="shared" ca="1" si="0"/>
        <v>EXPIRED</v>
      </c>
      <c r="L10" s="16">
        <v>45717</v>
      </c>
      <c r="M10" s="16">
        <v>46082</v>
      </c>
      <c r="N10" s="8"/>
      <c r="O10" s="10">
        <v>1700000</v>
      </c>
      <c r="P10" s="15">
        <v>44228</v>
      </c>
    </row>
    <row r="11" spans="1:16">
      <c r="A11" s="6"/>
      <c r="B11" s="7" t="s">
        <v>241</v>
      </c>
      <c r="C11" s="8" t="s">
        <v>242</v>
      </c>
      <c r="D11" s="9" t="s">
        <v>128</v>
      </c>
      <c r="E11" s="9" t="s">
        <v>240</v>
      </c>
      <c r="F11" s="8"/>
      <c r="G11" s="10">
        <v>12766.05</v>
      </c>
      <c r="H11" s="10">
        <v>2010</v>
      </c>
      <c r="I11" s="88">
        <v>45715</v>
      </c>
      <c r="J11" s="88">
        <v>46049</v>
      </c>
      <c r="K11" s="14" t="str">
        <f t="shared" ca="1" si="0"/>
        <v>EXPIRED</v>
      </c>
      <c r="L11" s="16">
        <v>45717</v>
      </c>
      <c r="M11" s="16">
        <v>46082</v>
      </c>
      <c r="N11" s="8"/>
      <c r="O11" s="10">
        <v>1695148</v>
      </c>
      <c r="P11" s="15">
        <v>44896</v>
      </c>
    </row>
    <row r="12" spans="1:16">
      <c r="A12" s="6"/>
      <c r="B12" s="7" t="s">
        <v>26</v>
      </c>
      <c r="C12" s="8" t="s">
        <v>243</v>
      </c>
      <c r="D12" s="9" t="s">
        <v>57</v>
      </c>
      <c r="E12" s="9" t="s">
        <v>237</v>
      </c>
      <c r="F12" s="8"/>
      <c r="G12" s="10">
        <v>7971.85</v>
      </c>
      <c r="H12" s="10">
        <v>2410</v>
      </c>
      <c r="I12" s="88">
        <v>45715</v>
      </c>
      <c r="J12" s="88">
        <v>46049</v>
      </c>
      <c r="K12" s="14" t="str">
        <f t="shared" ca="1" si="0"/>
        <v>EXPIRED</v>
      </c>
      <c r="L12" s="16">
        <v>45717</v>
      </c>
      <c r="M12" s="16">
        <v>46082</v>
      </c>
      <c r="N12" s="8" t="s">
        <v>244</v>
      </c>
      <c r="O12" s="10"/>
      <c r="P12" s="8"/>
    </row>
    <row r="13" spans="1:16">
      <c r="G13" s="11">
        <f>SUM(G6:G12)</f>
        <v>68855.510000000009</v>
      </c>
      <c r="H13" s="11">
        <f>SUM(H6:H12)</f>
        <v>18940</v>
      </c>
    </row>
    <row r="15" spans="1:16">
      <c r="B15" s="1" t="s">
        <v>32</v>
      </c>
      <c r="E15" s="1"/>
    </row>
    <row r="16" spans="1:16">
      <c r="B16" s="1" t="s">
        <v>33</v>
      </c>
      <c r="E16" s="1"/>
    </row>
    <row r="17" spans="2:5">
      <c r="B17" s="1" t="s">
        <v>34</v>
      </c>
      <c r="E17" s="1"/>
    </row>
    <row r="18" spans="2:5">
      <c r="B18" s="1" t="s">
        <v>35</v>
      </c>
      <c r="E18" s="1"/>
    </row>
    <row r="19" spans="2:5">
      <c r="B19" s="1" t="s">
        <v>36</v>
      </c>
      <c r="E19" s="1"/>
    </row>
    <row r="20" spans="2:5">
      <c r="B20" s="1" t="s">
        <v>37</v>
      </c>
      <c r="E20" s="1"/>
    </row>
    <row r="21" spans="2:5">
      <c r="B21" s="1" t="s">
        <v>38</v>
      </c>
      <c r="E21" s="1"/>
    </row>
  </sheetData>
  <mergeCells count="14">
    <mergeCell ref="P4:P5"/>
    <mergeCell ref="F2:M3"/>
    <mergeCell ref="L4:M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K6:K12">
    <cfRule type="containsText" dxfId="11" priority="1" operator="containsText" text="REGISTERED">
      <formula>NOT(ISERROR(SEARCH("REGISTERED",K6)))</formula>
    </cfRule>
    <cfRule type="containsText" dxfId="10" priority="2" operator="containsText" text=" DAYS BEFORE EXPIRY">
      <formula>NOT(ISERROR(SEARCH(" DAYS BEFORE EXPIRY",K6)))</formula>
    </cfRule>
    <cfRule type="containsText" dxfId="9" priority="3" operator="containsText" text="DAYS BEFORE 2 WEEK NOTICE">
      <formula>NOT(ISERROR(SEARCH("DAYS BEFORE 2 WEEK NOTICE",K6)))</formula>
    </cfRule>
    <cfRule type="containsText" dxfId="8" priority="4" operator="containsText" text="PLEASE INPUT LAST REG">
      <formula>NOT(ISERROR(SEARCH("PLEASE INPUT LAST REG",K6)))</formula>
    </cfRule>
    <cfRule type="cellIs" dxfId="7" priority="5" operator="equal">
      <formula>"EXPIRED"</formula>
    </cfRule>
    <cfRule type="cellIs" dxfId="6" priority="6" operator="equal">
      <formula>"SUFFICIENT TIME"</formula>
    </cfRule>
  </conditionalFormatting>
  <pageMargins left="0.25" right="0.25" top="0.75" bottom="0.75" header="0.3" footer="0.3"/>
  <pageSetup paperSize="9" scale="74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6699"/>
  </sheetPr>
  <dimension ref="A1:P22"/>
  <sheetViews>
    <sheetView topLeftCell="A6" zoomScale="115" zoomScaleNormal="115" workbookViewId="0">
      <selection activeCell="A12" sqref="A12"/>
    </sheetView>
  </sheetViews>
  <sheetFormatPr defaultColWidth="9" defaultRowHeight="15"/>
  <cols>
    <col min="1" max="1" width="12.7109375" style="1" customWidth="1"/>
    <col min="2" max="2" width="13.7109375" style="1" customWidth="1"/>
    <col min="3" max="3" width="17.140625" style="1" customWidth="1"/>
    <col min="4" max="4" width="13.28515625" style="1" customWidth="1"/>
    <col min="5" max="5" width="14.28515625" style="1" customWidth="1"/>
    <col min="6" max="6" width="9" style="1"/>
    <col min="7" max="7" width="16.28515625" style="1" customWidth="1"/>
    <col min="8" max="8" width="12.5703125" style="1" customWidth="1"/>
    <col min="9" max="9" width="16.140625" style="1" customWidth="1"/>
    <col min="10" max="10" width="21.5703125" style="1" customWidth="1"/>
    <col min="11" max="11" width="21.85546875" style="1" customWidth="1"/>
    <col min="12" max="12" width="15.7109375" style="1" customWidth="1"/>
    <col min="13" max="13" width="16.140625" style="1" customWidth="1"/>
    <col min="14" max="14" width="20" style="1" customWidth="1"/>
    <col min="15" max="15" width="18.140625" style="1" customWidth="1"/>
    <col min="16" max="16" width="14.28515625" style="1" customWidth="1"/>
    <col min="17" max="16384" width="9" style="1"/>
  </cols>
  <sheetData>
    <row r="1" spans="1:16">
      <c r="A1" s="17" t="s">
        <v>245</v>
      </c>
    </row>
    <row r="2" spans="1:16">
      <c r="A2" s="85">
        <f ca="1">TODAY()</f>
        <v>46085</v>
      </c>
    </row>
    <row r="4" spans="1:16">
      <c r="F4" s="98" t="s">
        <v>1</v>
      </c>
      <c r="G4" s="98"/>
      <c r="H4" s="98"/>
      <c r="I4" s="98"/>
      <c r="J4" s="98"/>
      <c r="K4" s="98"/>
      <c r="L4" s="98"/>
      <c r="M4" s="98"/>
    </row>
    <row r="5" spans="1:16">
      <c r="F5" s="98"/>
      <c r="G5" s="98"/>
      <c r="H5" s="98"/>
      <c r="I5" s="98"/>
      <c r="J5" s="98"/>
      <c r="K5" s="98"/>
      <c r="L5" s="98"/>
      <c r="M5" s="98"/>
    </row>
    <row r="6" spans="1:16" ht="43.15" customHeight="1">
      <c r="A6" s="93" t="s">
        <v>2</v>
      </c>
      <c r="B6" s="110" t="s">
        <v>3</v>
      </c>
      <c r="C6" s="94" t="s">
        <v>4</v>
      </c>
      <c r="D6" s="94" t="s">
        <v>5</v>
      </c>
      <c r="E6" s="94" t="s">
        <v>6</v>
      </c>
      <c r="F6" s="94" t="s">
        <v>7</v>
      </c>
      <c r="G6" s="112" t="s">
        <v>8</v>
      </c>
      <c r="H6" s="112" t="s">
        <v>9</v>
      </c>
      <c r="I6" s="112" t="s">
        <v>10</v>
      </c>
      <c r="J6" s="112" t="s">
        <v>11</v>
      </c>
      <c r="K6" s="112" t="s">
        <v>12</v>
      </c>
      <c r="L6" s="109" t="s">
        <v>13</v>
      </c>
      <c r="M6" s="109"/>
      <c r="N6" s="5" t="s">
        <v>14</v>
      </c>
      <c r="O6" s="93" t="s">
        <v>15</v>
      </c>
      <c r="P6" s="93" t="s">
        <v>16</v>
      </c>
    </row>
    <row r="7" spans="1:16">
      <c r="A7" s="93"/>
      <c r="B7" s="113"/>
      <c r="C7" s="94"/>
      <c r="D7" s="94"/>
      <c r="E7" s="94"/>
      <c r="F7" s="94"/>
      <c r="G7" s="94"/>
      <c r="H7" s="94"/>
      <c r="I7" s="94"/>
      <c r="J7" s="94"/>
      <c r="K7" s="94"/>
      <c r="L7" s="5" t="s">
        <v>17</v>
      </c>
      <c r="M7" s="5" t="s">
        <v>18</v>
      </c>
      <c r="N7" s="5"/>
      <c r="O7" s="93"/>
      <c r="P7" s="94"/>
    </row>
    <row r="8" spans="1:16">
      <c r="A8" s="8"/>
      <c r="B8" s="86" t="s">
        <v>49</v>
      </c>
      <c r="C8" s="87" t="s">
        <v>247</v>
      </c>
      <c r="D8" s="87" t="s">
        <v>29</v>
      </c>
      <c r="E8" s="87" t="s">
        <v>41</v>
      </c>
      <c r="F8" s="8"/>
      <c r="G8" s="8"/>
      <c r="H8" s="10"/>
      <c r="I8" s="6"/>
      <c r="J8" s="41"/>
      <c r="K8" s="6" t="str">
        <f ca="1">IF(A8="YES","REGISTERED",
IF(J8="","PLEASE INPUT LAST REG",
IF(J8-TODAY()&lt;0,"EXPIRED",
IF(J8-TODAY()&lt;=14,J8-TODAY()&amp;" DAYS BEFORE EXPIRY",
IF(AND(J8-TODAY()&gt;14,J8-TODAY()&lt;=29),J8-TODAY()&amp;" DAYS BEFORE 2 WEEK NOTICE",
IF(J8-TODAY()&gt;=30,"Sufficient Time"
)
)
)
)
)
)</f>
        <v>PLEASE INPUT LAST REG</v>
      </c>
      <c r="L8" s="6"/>
      <c r="M8" s="8"/>
      <c r="N8" s="86" t="s">
        <v>255</v>
      </c>
      <c r="O8" s="10">
        <v>69950</v>
      </c>
      <c r="P8" s="31">
        <v>41653</v>
      </c>
    </row>
    <row r="9" spans="1:16">
      <c r="A9" s="8" t="s">
        <v>260</v>
      </c>
      <c r="B9" s="86" t="s">
        <v>144</v>
      </c>
      <c r="C9" s="87" t="s">
        <v>248</v>
      </c>
      <c r="D9" s="87" t="s">
        <v>57</v>
      </c>
      <c r="E9" s="87" t="s">
        <v>254</v>
      </c>
      <c r="F9" s="8"/>
      <c r="G9" s="10">
        <v>6241.99</v>
      </c>
      <c r="H9" s="10">
        <v>3200</v>
      </c>
      <c r="I9" s="31">
        <v>45737</v>
      </c>
      <c r="J9" s="31">
        <v>46074</v>
      </c>
      <c r="K9" s="6" t="str">
        <f t="shared" ref="K9:K14" ca="1" si="0">IF(A9="YES","REGISTERED",
IF(J9="","PLEASE INPUT LAST REG",
IF(J9-TODAY()&lt;0,"EXPIRED",
IF(J9-TODAY()&lt;=14,J9-TODAY()&amp;" DAYS BEFORE EXPIRY",
IF(AND(J9-TODAY()&gt;14,J9-TODAY()&lt;=29),J9-TODAY()&amp;" DAYS BEFORE 2 WEEK NOTICE",
IF(J9-TODAY()&gt;=30,"Sufficient Time"
)
)
)
)
)
)</f>
        <v>REGISTERED</v>
      </c>
      <c r="L9" s="31">
        <v>45748</v>
      </c>
      <c r="M9" s="13">
        <v>46113</v>
      </c>
      <c r="N9" s="86" t="s">
        <v>256</v>
      </c>
      <c r="O9" s="10">
        <v>1298000</v>
      </c>
      <c r="P9" s="90">
        <v>42461</v>
      </c>
    </row>
    <row r="10" spans="1:16">
      <c r="A10" s="8" t="s">
        <v>260</v>
      </c>
      <c r="B10" s="86" t="s">
        <v>68</v>
      </c>
      <c r="C10" s="6">
        <v>90103</v>
      </c>
      <c r="D10" s="87" t="s">
        <v>57</v>
      </c>
      <c r="E10" s="87" t="s">
        <v>125</v>
      </c>
      <c r="F10" s="8"/>
      <c r="G10" s="10">
        <v>7371.56</v>
      </c>
      <c r="H10" s="10">
        <v>4520</v>
      </c>
      <c r="I10" s="31">
        <v>45737</v>
      </c>
      <c r="J10" s="31">
        <v>46074</v>
      </c>
      <c r="K10" s="6" t="str">
        <f ca="1">IF(A10="YES","REGISTERED",
IF(J10="","PLEASE INPUT LAST REG",
IF(J10-TODAY()&lt;0,"EXPIRED",
IF(J10-TODAY()&lt;=14,J10-TODAY()&amp;" DAYS BEFORE EXPIRY",
IF(AND(J10-TODAY()&gt;14,J10-TODAY()&lt;=29),J10-TODAY()&amp;" DAYS BEFORE 2 WEEK NOTICE",
IF(J10-TODAY()&gt;=30,"Sufficient Time"
)
)
)
)
)
)</f>
        <v>REGISTERED</v>
      </c>
      <c r="L10" s="31">
        <v>45748</v>
      </c>
      <c r="M10" s="13">
        <v>46113</v>
      </c>
      <c r="N10" s="86" t="s">
        <v>257</v>
      </c>
      <c r="O10" s="10">
        <v>1997000</v>
      </c>
      <c r="P10" s="90">
        <v>43160</v>
      </c>
    </row>
    <row r="11" spans="1:16">
      <c r="A11" s="8" t="s">
        <v>260</v>
      </c>
      <c r="B11" s="86" t="s">
        <v>68</v>
      </c>
      <c r="C11" s="87" t="s">
        <v>249</v>
      </c>
      <c r="D11" s="87" t="s">
        <v>69</v>
      </c>
      <c r="E11" s="87" t="s">
        <v>70</v>
      </c>
      <c r="F11" s="8"/>
      <c r="G11" s="10">
        <v>13334.34</v>
      </c>
      <c r="H11" s="10">
        <v>7160</v>
      </c>
      <c r="I11" s="31">
        <v>45737</v>
      </c>
      <c r="J11" s="31">
        <v>46074</v>
      </c>
      <c r="K11" s="6" t="str">
        <f t="shared" ca="1" si="0"/>
        <v>REGISTERED</v>
      </c>
      <c r="L11" s="31">
        <v>45748</v>
      </c>
      <c r="M11" s="13">
        <v>46113</v>
      </c>
      <c r="N11" s="86"/>
      <c r="O11" s="10">
        <v>5000000</v>
      </c>
      <c r="P11" s="89">
        <v>43503</v>
      </c>
    </row>
    <row r="12" spans="1:16">
      <c r="A12" s="8" t="s">
        <v>260</v>
      </c>
      <c r="B12" s="86" t="s">
        <v>246</v>
      </c>
      <c r="C12" s="87" t="s">
        <v>250</v>
      </c>
      <c r="D12" s="87" t="s">
        <v>21</v>
      </c>
      <c r="E12" s="87" t="s">
        <v>22</v>
      </c>
      <c r="F12" s="8"/>
      <c r="G12" s="10">
        <v>9809.4699999999993</v>
      </c>
      <c r="H12" s="10"/>
      <c r="I12" s="31">
        <v>45733</v>
      </c>
      <c r="J12" s="31">
        <v>46068</v>
      </c>
      <c r="K12" s="6" t="str">
        <f t="shared" ca="1" si="0"/>
        <v>REGISTERED</v>
      </c>
      <c r="L12" s="31">
        <v>45748</v>
      </c>
      <c r="M12" s="13">
        <v>46113</v>
      </c>
      <c r="N12" s="86"/>
      <c r="O12" s="10">
        <v>1199000</v>
      </c>
      <c r="P12" s="31">
        <v>44231</v>
      </c>
    </row>
    <row r="13" spans="1:16">
      <c r="A13" s="8" t="s">
        <v>260</v>
      </c>
      <c r="B13" s="86" t="s">
        <v>68</v>
      </c>
      <c r="C13" s="87" t="s">
        <v>251</v>
      </c>
      <c r="D13" s="87" t="s">
        <v>128</v>
      </c>
      <c r="E13" s="87" t="s">
        <v>27</v>
      </c>
      <c r="F13" s="8"/>
      <c r="G13" s="10">
        <v>14149.16</v>
      </c>
      <c r="H13" s="10"/>
      <c r="I13" s="6"/>
      <c r="J13" s="6"/>
      <c r="K13" s="6" t="str">
        <f t="shared" ca="1" si="0"/>
        <v>REGISTERED</v>
      </c>
      <c r="L13" s="31">
        <v>45726</v>
      </c>
      <c r="M13" s="13">
        <v>46091</v>
      </c>
      <c r="N13" s="86"/>
      <c r="O13" s="10">
        <v>1500000</v>
      </c>
      <c r="P13" s="31">
        <v>44974</v>
      </c>
    </row>
    <row r="14" spans="1:16">
      <c r="A14" s="8" t="s">
        <v>260</v>
      </c>
      <c r="B14" s="86" t="s">
        <v>185</v>
      </c>
      <c r="C14" s="87" t="s">
        <v>252</v>
      </c>
      <c r="D14" s="87" t="s">
        <v>63</v>
      </c>
      <c r="E14" s="87" t="s">
        <v>41</v>
      </c>
      <c r="F14" s="8"/>
      <c r="G14" s="10">
        <v>2016.35</v>
      </c>
      <c r="H14" s="10">
        <v>250</v>
      </c>
      <c r="I14" s="31">
        <v>45737</v>
      </c>
      <c r="J14" s="31">
        <v>46074</v>
      </c>
      <c r="K14" s="6" t="str">
        <f t="shared" ca="1" si="0"/>
        <v>REGISTERED</v>
      </c>
      <c r="L14" s="89">
        <v>45748</v>
      </c>
      <c r="M14" s="13">
        <v>46113</v>
      </c>
      <c r="N14" s="86" t="s">
        <v>258</v>
      </c>
      <c r="O14" s="10">
        <v>90345</v>
      </c>
      <c r="P14" s="31">
        <v>45005</v>
      </c>
    </row>
    <row r="15" spans="1:16">
      <c r="A15" s="8" t="s">
        <v>260</v>
      </c>
      <c r="B15" s="86" t="s">
        <v>76</v>
      </c>
      <c r="C15" s="87" t="s">
        <v>253</v>
      </c>
      <c r="D15" s="87" t="s">
        <v>63</v>
      </c>
      <c r="E15" s="87" t="s">
        <v>41</v>
      </c>
      <c r="F15" s="8"/>
      <c r="G15" s="10">
        <v>2016.35</v>
      </c>
      <c r="H15" s="10">
        <v>250</v>
      </c>
      <c r="I15" s="31">
        <v>45737</v>
      </c>
      <c r="J15" s="31">
        <v>46074</v>
      </c>
      <c r="K15" s="6" t="str">
        <f ca="1">IF(A15="YES","REGISTERED",
IF(J15="","PLEASE INPUT LAST REG",
IF(J15-TODAY()&lt;0,"EXPIRED",
IF(J15-TODAY()&lt;=14,J15-TODAY()&amp;" DAYS BEFORE EXPIRY",
IF(AND(J15-TODAY()&gt;14,J15-TODAY()&lt;=29),J15-TODAY()&amp;" DAYS BEFORE 2 WEEK NOTICE",
IF(J15-TODAY()&gt;=30,"Sufficient Time"
)
)
)
)
)
)</f>
        <v>REGISTERED</v>
      </c>
      <c r="L15" s="89">
        <v>45748</v>
      </c>
      <c r="M15" s="13">
        <v>46113</v>
      </c>
      <c r="N15" s="86" t="s">
        <v>259</v>
      </c>
      <c r="O15" s="10">
        <v>90345</v>
      </c>
      <c r="P15" s="31">
        <v>45005</v>
      </c>
    </row>
    <row r="16" spans="1:16">
      <c r="A16" s="1" t="s">
        <v>32</v>
      </c>
    </row>
    <row r="17" spans="1:1">
      <c r="A17" s="1" t="s">
        <v>33</v>
      </c>
    </row>
    <row r="18" spans="1:1">
      <c r="A18" s="1" t="s">
        <v>34</v>
      </c>
    </row>
    <row r="19" spans="1:1">
      <c r="A19" s="1" t="s">
        <v>35</v>
      </c>
    </row>
    <row r="20" spans="1:1">
      <c r="A20" s="1" t="s">
        <v>36</v>
      </c>
    </row>
    <row r="21" spans="1:1">
      <c r="A21" s="1" t="s">
        <v>37</v>
      </c>
    </row>
    <row r="22" spans="1:1">
      <c r="A22" s="1" t="s">
        <v>38</v>
      </c>
    </row>
  </sheetData>
  <mergeCells count="15">
    <mergeCell ref="P6:P7"/>
    <mergeCell ref="O6:O7"/>
    <mergeCell ref="F4:M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M6"/>
  </mergeCells>
  <conditionalFormatting sqref="K8:K15">
    <cfRule type="containsText" dxfId="5" priority="6" operator="containsText" text="PLEASE INPUT LAST REG">
      <formula>NOT(ISERROR(SEARCH("PLEASE INPUT LAST REG",K8)))</formula>
    </cfRule>
    <cfRule type="containsText" dxfId="4" priority="5" operator="containsText" text="EXPIRED">
      <formula>NOT(ISERROR(SEARCH("EXPIRED",K8)))</formula>
    </cfRule>
    <cfRule type="containsText" dxfId="3" priority="4" operator="containsText" text="SUFFICIENT TIME">
      <formula>NOT(ISERROR(SEARCH("SUFFICIENT TIME",K8)))</formula>
    </cfRule>
    <cfRule type="containsText" dxfId="2" priority="3" operator="containsText" text="DAYS BEFORE EXPIRY">
      <formula>NOT(ISERROR(SEARCH("DAYS BEFORE EXPIRY",K8)))</formula>
    </cfRule>
    <cfRule type="containsText" dxfId="1" priority="2" operator="containsText" text="DAYS BEFORE 2 WEEK NOTICE">
      <formula>NOT(ISERROR(SEARCH("DAYS BEFORE 2 WEEK NOTICE",K8)))</formula>
    </cfRule>
    <cfRule type="containsText" dxfId="0" priority="1" operator="containsText" text="REGISTERED">
      <formula>NOT(ISERROR(SEARCH("REGISTERED",K8)))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6699"/>
  </sheetPr>
  <dimension ref="A1"/>
  <sheetViews>
    <sheetView workbookViewId="0">
      <selection activeCell="L8" sqref="L8"/>
    </sheetView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JAN 1</vt:lpstr>
      <vt:lpstr>FEB 2025</vt:lpstr>
      <vt:lpstr>MARCH 2025</vt:lpstr>
      <vt:lpstr>APRIL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gitga</cp:lastModifiedBy>
  <cp:lastPrinted>2025-03-17T08:28:00Z</cp:lastPrinted>
  <dcterms:created xsi:type="dcterms:W3CDTF">2025-03-11T00:54:00Z</dcterms:created>
  <dcterms:modified xsi:type="dcterms:W3CDTF">2026-03-04T07:17:04Z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6C8E8083BEF64AD1A5E4211790B9512C_12</vt:lpwstr>
  </property>
  <property fmtid="{D5CDD505-2E9C-101B-9397-08002B2CF9AE}" pid="3" name="KSOProductBuildVer">
    <vt:lpwstr>1033-12.2.0.20326</vt:lpwstr>
  </property>
</Properties>
</file>